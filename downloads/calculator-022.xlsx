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개&quot;"/>
    <numFmt numFmtId="165" formatCode="#,##0&quot;원&quot;"/>
    <numFmt numFmtId="166" formatCode="0.0%"/>
    <numFmt numFmtId="167" formatCode="#,##0.0&quot;원&quot;"/>
  </numFmts>
  <fonts count="4">
    <font>
      <name val="Calibri"/>
      <family val="2"/>
      <color theme="1"/>
      <sz val="11"/>
      <scheme val="minor"/>
    </font>
    <font>
      <b val="1"/>
      <color rgb="0017334A"/>
      <sz val="15"/>
    </font>
    <font>
      <color rgb="005C6B73"/>
      <sz val="10"/>
    </font>
    <font>
      <b val="1"/>
      <color rgb="0017334A"/>
      <sz val="11"/>
    </font>
  </fonts>
  <fills count="4">
    <fill>
      <patternFill/>
    </fill>
    <fill>
      <patternFill patternType="gray125"/>
    </fill>
    <fill>
      <patternFill patternType="solid">
        <fgColor rgb="00EDF4F0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7E1DC"/>
      </left>
      <right style="thin">
        <color rgb="00D7E1DC"/>
      </right>
      <top style="thin">
        <color rgb="00D7E1DC"/>
      </top>
      <bottom style="thin">
        <color rgb="00D7E1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3" borderId="1" applyAlignment="1" pivotButton="0" quotePrefix="0" xfId="0">
      <alignment horizontal="right"/>
    </xf>
    <xf numFmtId="0" fontId="2" fillId="0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46" customWidth="1" min="4" max="4"/>
  </cols>
  <sheetData>
    <row r="2">
      <c r="B2" s="1" t="inlineStr">
        <is>
          <t>입고 원가 계산</t>
        </is>
      </c>
    </row>
    <row r="3">
      <c r="B3" s="2" t="inlineStr">
        <is>
          <t>팔아본 팀장의 실무노트 · 노란 칸만 내 숫자로 바꾸세요</t>
        </is>
      </c>
    </row>
    <row r="5">
      <c r="B5" s="3" t="inlineStr">
        <is>
          <t>입력</t>
        </is>
      </c>
      <c r="C5" s="3" t="inlineStr">
        <is>
          <t>값</t>
        </is>
      </c>
      <c r="D5" s="3" t="inlineStr">
        <is>
          <t>설명</t>
        </is>
      </c>
    </row>
    <row r="6">
      <c r="B6" s="4" t="inlineStr">
        <is>
          <t>단가(USD)</t>
        </is>
      </c>
      <c r="C6" s="5" t="n">
        <v>4</v>
      </c>
      <c r="D6" s="6" t="inlineStr">
        <is>
          <t>발주서 단가</t>
        </is>
      </c>
    </row>
    <row r="7">
      <c r="B7" s="4" t="inlineStr">
        <is>
          <t>수량</t>
        </is>
      </c>
      <c r="C7" s="7" t="n">
        <v>1000</v>
      </c>
      <c r="D7" s="6" t="inlineStr">
        <is>
          <t>이번 발주 수량</t>
        </is>
      </c>
    </row>
    <row r="8">
      <c r="B8" s="4" t="inlineStr">
        <is>
          <t>적용 환율</t>
        </is>
      </c>
      <c r="C8" s="8" t="n">
        <v>1350</v>
      </c>
      <c r="D8" s="6" t="inlineStr">
        <is>
          <t>결제·통관에 적용된 환율</t>
        </is>
      </c>
    </row>
    <row r="9">
      <c r="B9" s="4" t="inlineStr">
        <is>
          <t>운임·보험료(USD)</t>
        </is>
      </c>
      <c r="C9" s="9" t="n">
        <v>420</v>
      </c>
      <c r="D9" s="6" t="inlineStr">
        <is>
          <t>수입항까지의 운임과 보험료</t>
        </is>
      </c>
    </row>
    <row r="10">
      <c r="B10" s="4" t="inlineStr">
        <is>
          <t>관세율</t>
        </is>
      </c>
      <c r="C10" s="10" t="n">
        <v>0.08</v>
      </c>
      <c r="D10" s="6" t="inlineStr">
        <is>
          <t>품목분류에 따른 세율</t>
        </is>
      </c>
    </row>
    <row r="11">
      <c r="B11" s="4" t="inlineStr">
        <is>
          <t>통관 수수료·내륙운송</t>
        </is>
      </c>
      <c r="C11" s="8" t="n">
        <v>180000</v>
      </c>
      <c r="D11" s="6" t="inlineStr">
        <is>
          <t>건당 실비</t>
        </is>
      </c>
    </row>
    <row r="12">
      <c r="B12" s="4" t="inlineStr">
        <is>
          <t>검품·재포장</t>
        </is>
      </c>
      <c r="C12" s="8" t="n">
        <v>150000</v>
      </c>
      <c r="D12" s="6" t="inlineStr">
        <is>
          <t>이번 발주분 작업비</t>
        </is>
      </c>
    </row>
    <row r="14">
      <c r="B14" s="3" t="inlineStr">
        <is>
          <t>결과</t>
        </is>
      </c>
      <c r="C14" s="3" t="inlineStr">
        <is>
          <t>값</t>
        </is>
      </c>
      <c r="D14" s="3" t="inlineStr">
        <is>
          <t>계산식</t>
        </is>
      </c>
    </row>
    <row r="15">
      <c r="B15" s="4" t="inlineStr">
        <is>
          <t>물품 대금</t>
        </is>
      </c>
      <c r="C15" s="11">
        <f>C6*C7*C8</f>
        <v/>
      </c>
      <c r="D15" s="6" t="inlineStr">
        <is>
          <t>단가 × 수량 × 환율</t>
        </is>
      </c>
    </row>
    <row r="16">
      <c r="B16" s="4" t="inlineStr">
        <is>
          <t>운임·보험료(원)</t>
        </is>
      </c>
      <c r="C16" s="11">
        <f>C9*C8</f>
        <v/>
      </c>
      <c r="D16" s="6" t="inlineStr">
        <is>
          <t>USD × 환율</t>
        </is>
      </c>
    </row>
    <row r="17">
      <c r="B17" s="4" t="inlineStr">
        <is>
          <t>과세가격</t>
        </is>
      </c>
      <c r="C17" s="11">
        <f>C15+C16</f>
        <v/>
      </c>
      <c r="D17" s="6" t="inlineStr">
        <is>
          <t>관세법 제30조 가산 반영</t>
        </is>
      </c>
    </row>
    <row r="18">
      <c r="B18" s="4" t="inlineStr">
        <is>
          <t>관세</t>
        </is>
      </c>
      <c r="C18" s="11">
        <f>C17*C10</f>
        <v/>
      </c>
      <c r="D18" s="6" t="inlineStr">
        <is>
          <t>과세가격 × 관세율</t>
        </is>
      </c>
    </row>
    <row r="19">
      <c r="B19" s="4" t="inlineStr">
        <is>
          <t>입고 원가 합계</t>
        </is>
      </c>
      <c r="C19" s="11">
        <f>C15+C16+C18+C11+C12</f>
        <v/>
      </c>
      <c r="D19" s="6" t="inlineStr">
        <is>
          <t>부가세 제외</t>
        </is>
      </c>
    </row>
    <row r="20">
      <c r="B20" s="4" t="inlineStr">
        <is>
          <t>개당 입고 원가</t>
        </is>
      </c>
      <c r="C20" s="12">
        <f>C19/C7</f>
        <v/>
      </c>
      <c r="D20" s="6" t="inlineStr">
        <is>
          <t>합계 ÷ 수량</t>
        </is>
      </c>
    </row>
    <row r="21">
      <c r="B21" s="4" t="inlineStr">
        <is>
          <t>발주 단가 대비 상승률</t>
        </is>
      </c>
      <c r="C21" s="13">
        <f>C20/(C6*C8)-1</f>
        <v/>
      </c>
      <c r="D21" s="6" t="inlineStr">
        <is>
          <t>얼마나 올랐는지</t>
        </is>
      </c>
    </row>
    <row r="24">
      <c r="B24" s="2" t="inlineStr">
        <is>
          <t>· 수입 부가세는 매입세액 공제 대상이라 원가에서 제외했습니다. 관세는 공제 대상이 아니라 포함합니다.</t>
        </is>
      </c>
    </row>
    <row r="25">
      <c r="B25" s="2" t="inlineStr">
        <is>
          <t>· 품목이 여럿이면 운임은 부피(CBM) 비율, 관세는 금액 비율, 검품비는 수량 비율로 나누는 편이 실제에 가깝습니다.</t>
        </is>
      </c>
    </row>
    <row r="26">
      <c r="B26" s="2" t="inlineStr">
        <is>
          <t>· 실제 관세율과 가산 요소는 관세사 확인이 필요합니다.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2026-09-27T11:37:26Z</dcterms:created>
  <dcterms:modified xmlns:dcterms="http://purl.org/dc/terms/" xmlns:xsi="http://www.w3.org/2001/XMLSchema-instance" xsi:type="dcterms:W3CDTF">2026-09-27T11:37:26Z</dcterms:modified>
</cp:coreProperties>
</file>