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70788492-978C-4943-8503-44194D3B6B96}" xr6:coauthVersionLast="47" xr6:coauthVersionMax="47" xr10:uidLastSave="{00000000-0000-0000-0000-000000000000}"/>
  <bookViews>
    <workbookView xWindow="-108" yWindow="-108" windowWidth="23256" windowHeight="12456" xr2:uid="{C0A1F078-6D34-45BE-BEEA-6E3C9B1AD003}"/>
  </bookViews>
  <sheets>
    <sheet name="0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6" i="1"/>
  <c r="B5" i="1"/>
</calcChain>
</file>

<file path=xl/sharedStrings.xml><?xml version="1.0" encoding="utf-8"?>
<sst xmlns="http://schemas.openxmlformats.org/spreadsheetml/2006/main" count="26" uniqueCount="26">
  <si>
    <t>팔아본 팀장의 실무노트</t>
  </si>
  <si>
    <t>계산 결과</t>
  </si>
  <si>
    <t>값</t>
  </si>
  <si>
    <t>사용 방법</t>
  </si>
  <si>
    <t>목표 기여금 기준 (원)</t>
  </si>
  <si>
    <t>기존 수준 유지 기준 (원)</t>
  </si>
  <si>
    <t>추가 구매액 (원)</t>
  </si>
  <si>
    <t>비율은 6%라면 6을 입력합니다.</t>
  </si>
  <si>
    <t>기존 주문 기여금 (원)</t>
  </si>
  <si>
    <t>현재 웹 입력값이 아닌 독립 엑셀 양식입니다.</t>
  </si>
  <si>
    <t>배송 전 기여율에는 상품원가와 매출 비례</t>
  </si>
  <si>
    <t>비용을 반영합니다. 배송·포장비는 별도</t>
  </si>
  <si>
    <t>입력 항목</t>
  </si>
  <si>
    <t>노란 칸을 수정하세요</t>
  </si>
  <si>
    <t>차감합니다.</t>
  </si>
  <si>
    <t>배송 전 기여율 (%)</t>
  </si>
  <si>
    <t>택배비 (원)</t>
  </si>
  <si>
    <t>포장비 (원)</t>
  </si>
  <si>
    <t>목표 기여금 (원)</t>
  </si>
  <si>
    <t>기존 주문액 (원)</t>
  </si>
  <si>
    <t>고객 배송비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</si>
  <si>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</si>
  <si>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</si>
  <si>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</si>
  <si>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</si>
  <si>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004 무료배송 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</si>
</sst>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177" fontId="11" fillId="6" borderId="0" xfId="1" applyNumberFormat="1" applyFont="1" applyFill="1" applyAlignment="1" applyProtection="1">
      <alignment vertical="center"/>
      <protection locked="0"/>
    </xf>
    <xf numFmtId="4" fontId="11" fillId="6" borderId="0" xfId="1" applyNumberFormat="1" applyFont="1" applyFill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D9D07E95-AFCA-41EF-9D81-378B9CECEF0F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EF08-AF85-4DB2-8226-BED8CBB1707E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25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IFERROR(IF(AND(COUNT(B14:B19)=6,MIN(B14:B19)&gt;=0,B14&lt;=100,B14&gt;0),ROUNDUP(ROUND((B17+B15+B16)/(B14/100),8),0),"입력 확인"),"입력 확인")</f>
        <v>30000</v>
      </c>
      <c r="C5" s="1"/>
      <c r="D5" s="9" t="s">
        <v>23</v>
      </c>
    </row>
    <row r="6" spans="1:4" ht="45" customHeight="1">
      <c r="A6" s="7" t="s">
        <v>5</v>
      </c>
      <c r="B6" s="8">
        <f>IFERROR(IF(AND(COUNT(B14:B19)=6,MIN(B14:B19)&gt;=0,B14&lt;=100,B14&gt;0),ROUNDUP(ROUND(B18+B19/(B14/100),8),0),"입력 확인"),"입력 확인")</f>
        <v>28572</v>
      </c>
      <c r="C6" s="1"/>
      <c r="D6" s="9" t="s">
        <v>24</v>
      </c>
    </row>
    <row r="7" spans="1:4" ht="45" customHeight="1">
      <c r="A7" s="7" t="s">
        <v>6</v>
      </c>
      <c r="B7" s="8">
        <f>IFERROR(IF(AND(COUNT(B14:B19)=6,MIN(B14:B19)&gt;=0,B14&lt;=100,B14&gt;0),ROUNDUP(ROUND(B19/(B14/100),8),0),"입력 확인"),"입력 확인")</f>
        <v>8572</v>
      </c>
      <c r="C7" s="1"/>
      <c r="D7" s="9" t="s">
        <v>7</v>
      </c>
    </row>
    <row r="8" spans="1:4" ht="45" customHeight="1">
      <c r="A8" s="7" t="s">
        <v>8</v>
      </c>
      <c r="B8" s="8">
        <f>IFERROR(IF(AND(COUNT(B14:B19)=6,MIN(B14:B19)&gt;=0,B14&lt;=100,B14&gt;0),B18*B14/100+B19-B15-B16,"입력 확인"),"입력 확인")</f>
        <v>6500</v>
      </c>
      <c r="C8" s="1"/>
      <c r="D8" s="9" t="s">
        <v>9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10</v>
      </c>
    </row>
    <row r="12" spans="1:4" ht="28.95" customHeight="1">
      <c r="A12" s="1"/>
      <c r="B12" s="1"/>
      <c r="C12" s="1"/>
      <c r="D12" s="4" t="s">
        <v>11</v>
      </c>
    </row>
    <row r="13" spans="1:4" ht="28.95" customHeight="1">
      <c r="A13" s="5" t="s">
        <v>12</v>
      </c>
      <c r="B13" s="5" t="s">
        <v>13</v>
      </c>
      <c r="C13" s="1"/>
      <c r="D13" s="4" t="s">
        <v>14</v>
      </c>
    </row>
    <row r="14" spans="1:4" ht="37.049999999999997" customHeight="1">
      <c r="A14" s="1" t="s">
        <v>15</v>
      </c>
      <c r="B14" s="10">
        <v>35</v>
      </c>
      <c r="C14" s="1"/>
      <c r="D14" s="4"/>
    </row>
    <row r="15" spans="1:4" ht="37.049999999999997" customHeight="1">
      <c r="A15" s="1" t="s">
        <v>16</v>
      </c>
      <c r="B15" s="11">
        <v>3000</v>
      </c>
      <c r="C15" s="1"/>
      <c r="D15" s="4"/>
    </row>
    <row r="16" spans="1:4" ht="37.049999999999997" customHeight="1">
      <c r="A16" s="1" t="s">
        <v>17</v>
      </c>
      <c r="B16" s="11">
        <v>500</v>
      </c>
      <c r="C16" s="1"/>
      <c r="D16" s="4"/>
    </row>
    <row r="17" spans="1:4" ht="37.049999999999997" customHeight="1">
      <c r="A17" s="1" t="s">
        <v>18</v>
      </c>
      <c r="B17" s="11">
        <v>7000</v>
      </c>
      <c r="C17" s="1"/>
      <c r="D17" s="4"/>
    </row>
    <row r="18" spans="1:4" ht="37.049999999999997" customHeight="1">
      <c r="A18" s="1" t="s">
        <v>19</v>
      </c>
      <c r="B18" s="11">
        <v>20000</v>
      </c>
      <c r="C18" s="1"/>
      <c r="D18" s="4"/>
    </row>
    <row r="19" spans="1:4" ht="37.049999999999997" customHeight="1">
      <c r="A19" s="1" t="s">
        <v>20</v>
      </c>
      <c r="B19" s="11">
        <v>3000</v>
      </c>
      <c r="C19" s="1"/>
      <c r="D19" s="4"/>
    </row>
    <row r="20" spans="1:4" ht="28.95" customHeight="1">
      <c r="A20" s="1"/>
      <c r="B20" s="1"/>
      <c r="C20" s="1"/>
      <c r="D20" s="12" t="s">
        <v>21</v>
      </c>
    </row>
    <row r="21" spans="1:4" ht="28.95" customHeight="1">
      <c r="A21" s="1"/>
      <c r="B21" s="1"/>
      <c r="C21" s="1"/>
      <c r="D21" s="12" t="s">
        <v>22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8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5:B19" xr:uid="{F39449BD-6E7F-467D-9308-B371553133BB}">
      <formula1>0</formula1>
      <formula2>1000000000000</formula2>
    </dataValidation>
    <dataValidation type="decimal" sqref="B14" xr:uid="{4DB64632-83A5-4482-87E1-7707ED436ABD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2026-09-08T08:06:12Z</dcterms:created>
  <dcterms:modified xsi:type="dcterms:W3CDTF">2026-09-08T08:06:13Z</dcterms:modified>
</cp:coreProperties>
</file>