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4A2EC072-C446-40E3-817E-2324354AACDF}" xr6:coauthVersionLast="47" xr6:coauthVersionMax="47" xr10:uidLastSave="{00000000-0000-0000-0000-000000000000}"/>
  <bookViews>
    <workbookView xWindow="-108" yWindow="-108" windowWidth="23256" windowHeight="12456" xr2:uid="{47A46787-3130-4BED-BC70-B1CEFFC25462}"/>
  </bookViews>
  <sheets>
    <sheet name="0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B7" i="1"/>
  <c r="B6" i="1"/>
  <c r="B5" i="1"/>
</calcChain>
</file>

<file path=xl/sharedStrings.xml><?xml version="1.0" encoding="utf-8"?>
<sst xmlns="http://schemas.openxmlformats.org/spreadsheetml/2006/main" count="22" uniqueCount="22">
  <si>
    <t>팔아본 팀장의 실무노트</t>
  </si>
  <si>
    <t>계산 결과</t>
  </si>
  <si>
    <t>값</t>
  </si>
  <si>
    <t>사용 방법</t>
  </si>
  <si>
    <t>입금 전 잔액 (원)</t>
  </si>
  <si>
    <t>부족액 (원)</t>
  </si>
  <si>
    <t>입금 후 잔액 (원)</t>
  </si>
  <si>
    <t>비율은 6%라면 6을 입력합니다.</t>
  </si>
  <si>
    <t>현재 웹 입력값이 아닌 독립 엑셀 양식입니다.</t>
  </si>
  <si>
    <t>중간 잔액 = 시작잔액−선지급. 이후 잔액</t>
  </si>
  <si>
    <t>입력 항목</t>
  </si>
  <si>
    <t>노란 칸을 수정하세요</t>
  </si>
  <si>
    <t>사이클만 비교하며 다른 입출금은</t>
  </si>
  <si>
    <t>시작 잔액 (원)</t>
  </si>
  <si>
    <t>제외합니다.</t>
  </si>
  <si>
    <t>입금 전 지급액 (원)</t>
  </si>
  <si>
    <t>이후 정산 입금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</si>
  <si>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</si>
  <si>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</si>
  <si>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</si>
  <si>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</si>
  <si>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008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</si>
</sst>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\(#,##0\);0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0477BBF0-3F3A-47C1-8C72-5AFA4E1770D2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642C-EA26-4D67-998B-80EF2720395B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21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IFERROR(IF(AND(COUNT(B14:B16)=3,MIN(B14:B16)&gt;=0),B14-B15,"입력 확인"),"입력 확인")</f>
        <v>-200000</v>
      </c>
      <c r="C5" s="1"/>
      <c r="D5" s="9" t="s">
        <v>19</v>
      </c>
    </row>
    <row r="6" spans="1:4" ht="45" customHeight="1">
      <c r="A6" s="7" t="s">
        <v>5</v>
      </c>
      <c r="B6" s="8">
        <f>IFERROR(IF(AND(COUNT(B14:B16)=3,MIN(B14:B16)&gt;=0),MAX(0,B15-B14),"입력 확인"),"입력 확인")</f>
        <v>200000</v>
      </c>
      <c r="C6" s="1"/>
      <c r="D6" s="9" t="s">
        <v>20</v>
      </c>
    </row>
    <row r="7" spans="1:4" ht="45" customHeight="1">
      <c r="A7" s="7" t="s">
        <v>6</v>
      </c>
      <c r="B7" s="8">
        <f>IFERROR(IF(AND(COUNT(B14:B16)=3,MIN(B14:B16)&gt;=0),B14-B15+B16,"입력 확인"),"입력 확인")</f>
        <v>1800000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e">
        <f>중간잔액+정산. 입금 전에 지출하는 한</f>
        <v>#NAME?</v>
      </c>
    </row>
    <row r="13" spans="1:4" ht="28.95" customHeight="1">
      <c r="A13" s="5" t="s">
        <v>10</v>
      </c>
      <c r="B13" s="5" t="s">
        <v>11</v>
      </c>
      <c r="C13" s="1"/>
      <c r="D13" s="4" t="s">
        <v>12</v>
      </c>
    </row>
    <row r="14" spans="1:4" ht="37.049999999999997" customHeight="1">
      <c r="A14" s="1" t="s">
        <v>13</v>
      </c>
      <c r="B14" s="10">
        <v>1000000</v>
      </c>
      <c r="C14" s="1"/>
      <c r="D14" s="4" t="s">
        <v>14</v>
      </c>
    </row>
    <row r="15" spans="1:4" ht="37.049999999999997" customHeight="1">
      <c r="A15" s="1" t="s">
        <v>15</v>
      </c>
      <c r="B15" s="10">
        <v>1200000</v>
      </c>
      <c r="C15" s="1"/>
      <c r="D15" s="4"/>
    </row>
    <row r="16" spans="1:4" ht="37.049999999999997" customHeight="1">
      <c r="A16" s="1" t="s">
        <v>16</v>
      </c>
      <c r="B16" s="10">
        <v>2000000</v>
      </c>
      <c r="C16" s="1"/>
      <c r="D16" s="4"/>
    </row>
    <row r="17" spans="1:4" ht="28.95" customHeight="1">
      <c r="A17" s="1"/>
      <c r="B17" s="11"/>
      <c r="C17" s="1"/>
      <c r="D17" s="4"/>
    </row>
    <row r="18" spans="1:4" ht="28.95" customHeight="1">
      <c r="A18" s="1"/>
      <c r="B18" s="11"/>
      <c r="C18" s="1"/>
      <c r="D18" s="4"/>
    </row>
    <row r="19" spans="1:4" ht="28.95" customHeight="1">
      <c r="A19" s="1"/>
      <c r="B19" s="11"/>
      <c r="C19" s="1"/>
      <c r="D19" s="4"/>
    </row>
    <row r="20" spans="1:4" ht="28.95" customHeight="1">
      <c r="A20" s="1"/>
      <c r="B20" s="1"/>
      <c r="C20" s="1"/>
      <c r="D20" s="12" t="s">
        <v>17</v>
      </c>
    </row>
    <row r="21" spans="1:4" ht="28.95" customHeight="1">
      <c r="A21" s="1"/>
      <c r="B21" s="1"/>
      <c r="C21" s="1"/>
      <c r="D21" s="12" t="s">
        <v>18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1">
    <dataValidation type="decimal" sqref="B14:B16" xr:uid="{A5F236D4-7DA1-4D50-B7CB-246CD7A3718E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2026-09-08T08:06:19Z</dcterms:created>
  <dcterms:modified xsi:type="dcterms:W3CDTF">2026-09-08T08:06:20Z</dcterms:modified>
</cp:coreProperties>
</file>