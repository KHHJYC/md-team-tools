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95D990BB-8391-483D-8EC7-8D9D4ABBD74C}" xr6:coauthVersionLast="47" xr6:coauthVersionMax="47" xr10:uidLastSave="{00000000-0000-0000-0000-000000000000}"/>
  <bookViews>
    <workbookView xWindow="-108" yWindow="-108" windowWidth="23256" windowHeight="12456" xr2:uid="{624DA499-56FC-41B4-AED3-C2903DFE6630}"/>
  </bookViews>
  <sheets>
    <sheet name="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  <c r="B7" i="1" s="1"/>
</calcChain>
</file>

<file path=xl/sharedStrings.xml><?xml version="1.0" encoding="utf-8"?>
<sst xmlns="http://schemas.openxmlformats.org/spreadsheetml/2006/main" count="27" uniqueCount="27">
  <si>
    <t>팔아본 팀장의 실무노트</t>
  </si>
  <si>
    <t>계산 결과</t>
  </si>
  <si>
    <t>값</t>
  </si>
  <si>
    <t>사용 방법</t>
  </si>
  <si>
    <t>기존 주문 기여금 (원)</t>
  </si>
  <si>
    <t>새 주문 기여금 (원)</t>
  </si>
  <si>
    <t>기존 합계 유지 주문 (건)</t>
  </si>
  <si>
    <t>비율은 6%라면 6을 입력합니다.</t>
  </si>
  <si>
    <t>현재 웹 입력값이 아닌 독립 엑셀 양식입니다.</t>
  </si>
  <si>
    <t>주문 기여금 =</t>
  </si>
  <si>
    <t>가격×(1−수수료율)−원가−배송포장. 필요</t>
  </si>
  <si>
    <t>입력 항목</t>
  </si>
  <si>
    <t>노란 칸을 수정하세요</t>
  </si>
  <si>
    <t>주문 = 기존 기여금×기존 건수÷새</t>
  </si>
  <si>
    <t>기존 판매가 (원)</t>
  </si>
  <si>
    <t>기여금, 올림. 인상 전후 원가가 같다고</t>
  </si>
  <si>
    <t>새 판매가 (원)</t>
  </si>
  <si>
    <t>가정합니다.</t>
  </si>
  <si>
    <t>개당 원가 (원)</t>
  </si>
  <si>
    <t>수수료율 (%)</t>
  </si>
  <si>
    <t>배송·포장비 (원)</t>
  </si>
  <si>
    <t>기존 주문 수 (건)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</si>
  <si>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</si>
  <si>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</si>
  <si>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</si>
  <si>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</si>
  <si>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019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</si>
</sst>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9" fillId="5" borderId="0" xfId="1" applyNumberFormat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9CD65877-D0A8-48C3-8B77-2FB8CFDCB374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A9B7-976F-4870-B36B-74820CFC48F9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26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IFERROR(IF(AND(COUNT(B14:B19)=6,MIN(B14:B19)&gt;=0,B17&lt;=100,MOD(B19,1)=0,B17&lt;100,B19&gt;0,B14*(1-B17/100)-B16-B18&gt;0,B15*(1-B17/100)-B16-B18&gt;0),B14*(1-B17/100)-B16-B18,"입력 확인"),"입력 확인")</f>
        <v>9700</v>
      </c>
      <c r="C5" s="1"/>
      <c r="D5" s="9" t="s">
        <v>24</v>
      </c>
    </row>
    <row r="6" spans="1:4" ht="45" customHeight="1">
      <c r="A6" s="7" t="s">
        <v>5</v>
      </c>
      <c r="B6" s="8">
        <f>IFERROR(IF(AND(COUNT(B14:B19)=6,MIN(B14:B19)&gt;=0,B17&lt;=100,MOD(B19,1)=0,B17&lt;100,B19&gt;0,B14*(1-B17/100)-B16-B18&gt;0,B15*(1-B17/100)-B16-B18&gt;0),B15*(1-B17/100)-B16-B18,"입력 확인"),"입력 확인")</f>
        <v>12520</v>
      </c>
      <c r="C6" s="1"/>
      <c r="D6" s="9" t="s">
        <v>25</v>
      </c>
    </row>
    <row r="7" spans="1:4" ht="45" customHeight="1">
      <c r="A7" s="7" t="s">
        <v>6</v>
      </c>
      <c r="B7" s="10">
        <f>IFERROR(IF(AND(COUNT(B14:B19)=6,MIN(B14:B19)&gt;=0,B17&lt;=100,MOD(B19,1)=0,B17&lt;100,B19&gt;0,B14*(1-B17/100)-B16-B18&gt;0,B15*(1-B17/100)-B16-B18&gt;0),ROUNDUP(ROUND(B5*B19/B6,8),0),"입력 확인"),"입력 확인")</f>
        <v>78</v>
      </c>
      <c r="C7" s="1"/>
      <c r="D7" s="9" t="s">
        <v>7</v>
      </c>
    </row>
    <row r="8" spans="1:4" ht="28.95" customHeight="1">
      <c r="A8" s="1"/>
      <c r="B8" s="1"/>
      <c r="C8" s="1"/>
      <c r="D8" s="9" t="s">
        <v>8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9</v>
      </c>
    </row>
    <row r="12" spans="1:4" ht="28.95" customHeight="1">
      <c r="A12" s="1"/>
      <c r="B12" s="1"/>
      <c r="C12" s="1"/>
      <c r="D12" s="4" t="s">
        <v>10</v>
      </c>
    </row>
    <row r="13" spans="1:4" ht="28.95" customHeight="1">
      <c r="A13" s="5" t="s">
        <v>11</v>
      </c>
      <c r="B13" s="5" t="s">
        <v>12</v>
      </c>
      <c r="C13" s="1"/>
      <c r="D13" s="4" t="s">
        <v>13</v>
      </c>
    </row>
    <row r="14" spans="1:4" ht="37.049999999999997" customHeight="1">
      <c r="A14" s="1" t="s">
        <v>14</v>
      </c>
      <c r="B14" s="11">
        <v>30000</v>
      </c>
      <c r="C14" s="1"/>
      <c r="D14" s="4" t="s">
        <v>15</v>
      </c>
    </row>
    <row r="15" spans="1:4" ht="37.049999999999997" customHeight="1">
      <c r="A15" s="1" t="s">
        <v>16</v>
      </c>
      <c r="B15" s="11">
        <v>33000</v>
      </c>
      <c r="C15" s="1"/>
      <c r="D15" s="4" t="s">
        <v>17</v>
      </c>
    </row>
    <row r="16" spans="1:4" ht="37.049999999999997" customHeight="1">
      <c r="A16" s="1" t="s">
        <v>18</v>
      </c>
      <c r="B16" s="11">
        <v>15000</v>
      </c>
      <c r="C16" s="1"/>
      <c r="D16" s="4"/>
    </row>
    <row r="17" spans="1:4" ht="37.049999999999997" customHeight="1">
      <c r="A17" s="1" t="s">
        <v>19</v>
      </c>
      <c r="B17" s="12">
        <v>6</v>
      </c>
      <c r="C17" s="1"/>
      <c r="D17" s="4"/>
    </row>
    <row r="18" spans="1:4" ht="37.049999999999997" customHeight="1">
      <c r="A18" s="1" t="s">
        <v>20</v>
      </c>
      <c r="B18" s="11">
        <v>3500</v>
      </c>
      <c r="C18" s="1"/>
      <c r="D18" s="4"/>
    </row>
    <row r="19" spans="1:4" ht="37.049999999999997" customHeight="1">
      <c r="A19" s="1" t="s">
        <v>21</v>
      </c>
      <c r="B19" s="11">
        <v>100</v>
      </c>
      <c r="C19" s="1"/>
      <c r="D19" s="4"/>
    </row>
    <row r="20" spans="1:4" ht="28.95" customHeight="1">
      <c r="A20" s="1"/>
      <c r="B20" s="1"/>
      <c r="C20" s="1"/>
      <c r="D20" s="13" t="s">
        <v>22</v>
      </c>
    </row>
    <row r="21" spans="1:4" ht="28.95" customHeight="1">
      <c r="A21" s="1"/>
      <c r="B21" s="1"/>
      <c r="C21" s="1"/>
      <c r="D21" s="13" t="s">
        <v>23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7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7" xr:uid="{1B109A10-69E2-4A9F-8040-B13A8B816FD4}">
      <formula1>0</formula1>
      <formula2>100</formula2>
    </dataValidation>
    <dataValidation type="decimal" sqref="B18:B19 B14:B16" xr:uid="{04E83485-D81E-414A-9664-17778433B29B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2026-09-08T08:06:34Z</dcterms:created>
  <dcterms:modified xsi:type="dcterms:W3CDTF">2026-09-08T08:06:35Z</dcterms:modified>
</cp:coreProperties>
</file>