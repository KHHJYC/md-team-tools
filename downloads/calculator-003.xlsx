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FC1F8ED5-5749-4442-A775-831C1C61C631}" xr6:coauthVersionLast="47" xr6:coauthVersionMax="47" xr10:uidLastSave="{00000000-0000-0000-0000-000000000000}"/>
  <bookViews>
    <workbookView xWindow="-108" yWindow="-108" windowWidth="23256" windowHeight="12456" xr2:uid="{62A5F3BA-999B-473F-8157-0AE0965190EB}"/>
  </bookViews>
  <sheets>
    <sheet name="0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6" i="1" s="1"/>
</calcChain>
</file>

<file path=xl/sharedStrings.xml><?xml version="1.0" encoding="utf-8"?>
<sst xmlns="http://schemas.openxmlformats.org/spreadsheetml/2006/main" count="23" uniqueCount="23">
  <si>
    <t>팔아본 팀장의 실무노트</t>
  </si>
  <si>
    <t>계산 결과</t>
  </si>
  <si>
    <t>값</t>
  </si>
  <si>
    <t>사용 방법</t>
  </si>
  <si>
    <t>광고 전 기여금 (원)</t>
  </si>
  <si>
    <t>광고 후 기여금 (원)</t>
  </si>
  <si>
    <t>광고비 회수 ROAS (%)</t>
  </si>
  <si>
    <t>비율은 6%라면 6을 입력합니다.</t>
  </si>
  <si>
    <t>현재 ROAS (%)</t>
  </si>
  <si>
    <t>현재 웹 입력값이 아닌 독립 엑셀 양식입니다.</t>
  </si>
  <si>
    <t>전환 가치가 매출인 경우에 사용합니다.</t>
  </si>
  <si>
    <t>기여율은 광고 전 기준입니다. 고정비·세금</t>
  </si>
  <si>
    <t>입력 항목</t>
  </si>
  <si>
    <t>노란 칸을 수정하세요</t>
  </si>
  <si>
    <t>효과는 제외합니다.</t>
  </si>
  <si>
    <t>광고 전 기여율 (%)</t>
  </si>
  <si>
    <t>광고 매출 (원)</t>
  </si>
  <si>
    <t>광고비 (원)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</si>
  <si>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</si>
  <si>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</si>
  <si>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</si>
  <si>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</si>
  <si>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003 ROAS 계산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</si>
</sst>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9" fillId="5" borderId="0" xfId="1" applyNumberFormat="1" applyFont="1" applyFill="1" applyAlignment="1">
      <alignment vertical="center"/>
    </xf>
    <xf numFmtId="177" fontId="11" fillId="6" borderId="0" xfId="1" applyNumberFormat="1" applyFont="1" applyFill="1" applyAlignment="1" applyProtection="1">
      <alignment vertical="center"/>
      <protection locked="0"/>
    </xf>
    <xf numFmtId="4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4F83AA6E-DA08-40B8-A7E7-EB159D425C42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B52A-C6C4-42E6-BA1B-C34CF7C8AFC8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22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IFERROR(IF(AND(COUNT(B14:B16)=3,MIN(B14:B16)&gt;=0,B14&lt;=100,B14&gt;0,B16&gt;0),B15*B14/100,"입력 확인"),"입력 확인")</f>
        <v>9699</v>
      </c>
      <c r="C5" s="1"/>
      <c r="D5" s="9" t="s">
        <v>20</v>
      </c>
    </row>
    <row r="6" spans="1:4" ht="45" customHeight="1">
      <c r="A6" s="7" t="s">
        <v>5</v>
      </c>
      <c r="B6" s="8">
        <f>IFERROR(IF(AND(COUNT(B14:B16)=3,MIN(B14:B16)&gt;=0,B14&lt;=100,B14&gt;0,B16&gt;0),B5-B16,"입력 확인"),"입력 확인")</f>
        <v>2199</v>
      </c>
      <c r="C6" s="1"/>
      <c r="D6" s="9" t="s">
        <v>21</v>
      </c>
    </row>
    <row r="7" spans="1:4" ht="45" customHeight="1">
      <c r="A7" s="7" t="s">
        <v>6</v>
      </c>
      <c r="B7" s="10">
        <f>IFERROR(IF(AND(COUNT(B14:B16)=3,MIN(B14:B16)&gt;=0,B14&lt;=100,B14&gt;0,B16&gt;0),10000/B14,"입력 확인"),"입력 확인")</f>
        <v>309.31023816888342</v>
      </c>
      <c r="C7" s="1"/>
      <c r="D7" s="9" t="s">
        <v>7</v>
      </c>
    </row>
    <row r="8" spans="1:4" ht="45" customHeight="1">
      <c r="A8" s="7" t="s">
        <v>8</v>
      </c>
      <c r="B8" s="10">
        <f>IFERROR(IF(AND(COUNT(B14:B16)=3,MIN(B14:B16)&gt;=0,B14&lt;=100,B14&gt;0,B16&gt;0),B15/B16*100,"입력 확인"),"입력 확인")</f>
        <v>400</v>
      </c>
      <c r="C8" s="1"/>
      <c r="D8" s="9" t="s">
        <v>9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10</v>
      </c>
    </row>
    <row r="12" spans="1:4" ht="28.95" customHeight="1">
      <c r="A12" s="1"/>
      <c r="B12" s="1"/>
      <c r="C12" s="1"/>
      <c r="D12" s="4" t="s">
        <v>11</v>
      </c>
    </row>
    <row r="13" spans="1:4" ht="28.95" customHeight="1">
      <c r="A13" s="5" t="s">
        <v>12</v>
      </c>
      <c r="B13" s="5" t="s">
        <v>13</v>
      </c>
      <c r="C13" s="1"/>
      <c r="D13" s="4" t="s">
        <v>14</v>
      </c>
    </row>
    <row r="14" spans="1:4" ht="37.049999999999997" customHeight="1">
      <c r="A14" s="1" t="s">
        <v>15</v>
      </c>
      <c r="B14" s="11">
        <v>32.33</v>
      </c>
      <c r="C14" s="1"/>
      <c r="D14" s="4"/>
    </row>
    <row r="15" spans="1:4" ht="37.049999999999997" customHeight="1">
      <c r="A15" s="1" t="s">
        <v>16</v>
      </c>
      <c r="B15" s="12">
        <v>30000</v>
      </c>
      <c r="C15" s="1"/>
      <c r="D15" s="4"/>
    </row>
    <row r="16" spans="1:4" ht="37.049999999999997" customHeight="1">
      <c r="A16" s="1" t="s">
        <v>17</v>
      </c>
      <c r="B16" s="12">
        <v>7500</v>
      </c>
      <c r="C16" s="1"/>
      <c r="D16" s="4"/>
    </row>
    <row r="17" spans="1:4" ht="28.95" customHeight="1">
      <c r="A17" s="1"/>
      <c r="B17" s="13"/>
      <c r="C17" s="1"/>
      <c r="D17" s="4"/>
    </row>
    <row r="18" spans="1:4" ht="28.95" customHeight="1">
      <c r="A18" s="1"/>
      <c r="B18" s="13"/>
      <c r="C18" s="1"/>
      <c r="D18" s="4"/>
    </row>
    <row r="19" spans="1:4" ht="28.95" customHeight="1">
      <c r="A19" s="1"/>
      <c r="B19" s="13"/>
      <c r="C19" s="1"/>
      <c r="D19" s="4"/>
    </row>
    <row r="20" spans="1:4" ht="28.95" customHeight="1">
      <c r="A20" s="1"/>
      <c r="B20" s="1"/>
      <c r="C20" s="1"/>
      <c r="D20" s="14" t="s">
        <v>18</v>
      </c>
    </row>
    <row r="21" spans="1:4" ht="28.95" customHeight="1">
      <c r="A21" s="1"/>
      <c r="B21" s="1"/>
      <c r="C21" s="1"/>
      <c r="D21" s="14" t="s">
        <v>19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8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5:B16" xr:uid="{7C15EF30-EAB1-408A-9787-B76A3D17B081}">
      <formula1>0</formula1>
      <formula2>1000000000000</formula2>
    </dataValidation>
    <dataValidation type="decimal" sqref="B14" xr:uid="{21556D88-101C-4FBE-82D3-88C1B7914520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2026-09-08T08:06:10Z</dcterms:created>
  <dcterms:modified xsi:type="dcterms:W3CDTF">2026-09-08T08:06:11Z</dcterms:modified>
</cp:coreProperties>
</file>