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0.0%"/>
    <numFmt numFmtId="166" formatCode="#,##0&quot;건&quot;"/>
  </numFmts>
  <fonts count="4">
    <font>
      <name val="Calibri"/>
      <family val="2"/>
      <color theme="1"/>
      <sz val="11"/>
      <scheme val="minor"/>
    </font>
    <font>
      <b val="1"/>
      <color rgb="0017334A"/>
      <sz val="15"/>
    </font>
    <font>
      <color rgb="005C6B73"/>
      <sz val="10"/>
    </font>
    <font>
      <b val="1"/>
      <color rgb="0017334A"/>
      <sz val="11"/>
    </font>
  </fonts>
  <fills count="4">
    <fill>
      <patternFill/>
    </fill>
    <fill>
      <patternFill patternType="gray125"/>
    </fill>
    <fill>
      <patternFill patternType="solid">
        <fgColor rgb="00EDF4F0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7E1DC"/>
      </left>
      <right style="thin">
        <color rgb="00D7E1DC"/>
      </right>
      <top style="thin">
        <color rgb="00D7E1DC"/>
      </top>
      <bottom style="thin">
        <color rgb="00D7E1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3" borderId="1" applyAlignment="1" pivotButton="0" quotePrefix="0" xfId="0">
      <alignment horizontal="right"/>
    </xf>
    <xf numFmtId="0" fontId="2" fillId="0" borderId="1" pivotButton="0" quotePrefix="0" xfId="0"/>
    <xf numFmtId="165" fontId="0" fillId="3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46" customWidth="1" min="4" max="4"/>
  </cols>
  <sheetData>
    <row r="2">
      <c r="B2" s="1" t="inlineStr">
        <is>
          <t>주문당 평균 배송비</t>
        </is>
      </c>
    </row>
    <row r="3">
      <c r="B3" s="2" t="inlineStr">
        <is>
          <t>팔아본 팀장의 실무노트 · 노란 칸만 내 숫자로 바꾸세요</t>
        </is>
      </c>
    </row>
    <row r="5">
      <c r="B5" s="3" t="inlineStr">
        <is>
          <t>입력</t>
        </is>
      </c>
      <c r="C5" s="3" t="inlineStr">
        <is>
          <t>값</t>
        </is>
      </c>
      <c r="D5" s="3" t="inlineStr">
        <is>
          <t>설명</t>
        </is>
      </c>
    </row>
    <row r="6">
      <c r="B6" s="4" t="inlineStr">
        <is>
          <t>육지 요금</t>
        </is>
      </c>
      <c r="C6" s="5" t="n">
        <v>4000</v>
      </c>
      <c r="D6" s="6" t="inlineStr">
        <is>
          <t>가장 많이 쓰는 구간 요금</t>
        </is>
      </c>
    </row>
    <row r="7">
      <c r="B7" s="4" t="inlineStr">
        <is>
          <t>제주·도서 요금</t>
        </is>
      </c>
      <c r="C7" s="5" t="n">
        <v>6500</v>
      </c>
      <c r="D7" s="6" t="inlineStr">
        <is>
          <t>추가분 포함</t>
        </is>
      </c>
    </row>
    <row r="8">
      <c r="B8" s="4" t="inlineStr">
        <is>
          <t>제주·도서 비중</t>
        </is>
      </c>
      <c r="C8" s="7" t="n">
        <v>0.08</v>
      </c>
      <c r="D8" s="6" t="inlineStr">
        <is>
          <t>최근 3개월 출고 기준</t>
        </is>
      </c>
    </row>
    <row r="9">
      <c r="B9" s="4" t="inlineStr">
        <is>
          <t>감액률</t>
        </is>
      </c>
      <c r="C9" s="7" t="n">
        <v>0.15</v>
      </c>
      <c r="D9" s="6" t="inlineStr">
        <is>
          <t>접수 방식·물량에 따른 감액</t>
        </is>
      </c>
    </row>
    <row r="10">
      <c r="B10" s="4" t="inlineStr">
        <is>
          <t>월 출고 건수</t>
        </is>
      </c>
      <c r="C10" s="8" t="n">
        <v>2000</v>
      </c>
      <c r="D10" s="6" t="inlineStr">
        <is>
          <t>평균</t>
        </is>
      </c>
    </row>
    <row r="11">
      <c r="B11" s="4" t="inlineStr">
        <is>
          <t>한 구간 낮췄을 때 육지 요금</t>
        </is>
      </c>
      <c r="C11" s="5" t="n">
        <v>3500</v>
      </c>
      <c r="D11" s="6" t="inlineStr">
        <is>
          <t>박스를 줄였을 때</t>
        </is>
      </c>
    </row>
    <row r="13">
      <c r="B13" s="3" t="inlineStr">
        <is>
          <t>결과</t>
        </is>
      </c>
      <c r="C13" s="3" t="inlineStr">
        <is>
          <t>값</t>
        </is>
      </c>
      <c r="D13" s="3" t="inlineStr">
        <is>
          <t>계산식</t>
        </is>
      </c>
    </row>
    <row r="14">
      <c r="B14" s="4" t="inlineStr">
        <is>
          <t>평균 배송비(감액 전)</t>
        </is>
      </c>
      <c r="C14" s="9">
        <f>C6*(1-C8)+C7*C8</f>
        <v/>
      </c>
      <c r="D14" s="6" t="inlineStr">
        <is>
          <t>지역 비중 가중평균</t>
        </is>
      </c>
    </row>
    <row r="15">
      <c r="B15" s="4" t="inlineStr">
        <is>
          <t>평균 배송비(감액 후)</t>
        </is>
      </c>
      <c r="C15" s="9">
        <f>C14*(1-C9)</f>
        <v/>
      </c>
      <c r="D15" s="6" t="inlineStr">
        <is>
          <t>손익표에 넣을 숫자</t>
        </is>
      </c>
    </row>
    <row r="16">
      <c r="B16" s="4" t="inlineStr">
        <is>
          <t>월 배송비 총액</t>
        </is>
      </c>
      <c r="C16" s="9">
        <f>C15*C10</f>
        <v/>
      </c>
      <c r="D16" s="6" t="inlineStr">
        <is>
          <t>감액 후 기준</t>
        </is>
      </c>
    </row>
    <row r="17">
      <c r="B17" s="4" t="inlineStr">
        <is>
          <t>구간 축소 시 평균</t>
        </is>
      </c>
      <c r="C17" s="9">
        <f>(C11*(1-C8)+C7*C8)*(1-C9)</f>
        <v/>
      </c>
      <c r="D17" s="6" t="inlineStr">
        <is>
          <t>박스를 줄였을 때</t>
        </is>
      </c>
    </row>
    <row r="18">
      <c r="B18" s="4" t="inlineStr">
        <is>
          <t>건당 절감액</t>
        </is>
      </c>
      <c r="C18" s="9">
        <f>C15-C17</f>
        <v/>
      </c>
      <c r="D18" s="6" t="inlineStr">
        <is>
          <t>차액</t>
        </is>
      </c>
    </row>
    <row r="19">
      <c r="B19" s="4" t="inlineStr">
        <is>
          <t>월 절감액</t>
        </is>
      </c>
      <c r="C19" s="9">
        <f>C18*C10</f>
        <v/>
      </c>
      <c r="D19" s="6" t="inlineStr">
        <is>
          <t>포장 자재비와 비교해 보세요</t>
        </is>
      </c>
    </row>
    <row r="22">
      <c r="B22" s="2" t="inlineStr">
        <is>
          <t>· 요금은 중량과 크기(세 변의 합) 중 큰 값이 정합니다. 박스를 키우면 무게와 무관하게 상위 구간이 적용됩니다.</t>
        </is>
      </c>
    </row>
    <row r="23">
      <c r="B23" s="2" t="inlineStr">
        <is>
          <t>· 계약 택배 요금은 계약서 기준으로 바꿔 넣으세요.</t>
        </is>
      </c>
    </row>
    <row r="24">
      <c r="B24" s="2" t="inlineStr">
        <is>
          <t>· 파손 반품이 늘면 절감액이 상쇄되니 양쪽을 같이 보세요.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2026-09-27T11:37:26Z</dcterms:created>
  <dcterms:modified xmlns:dcterms="http://purl.org/dc/terms/" xmlns:xsi="http://www.w3.org/2001/XMLSchema-instance" xsi:type="dcterms:W3CDTF">2026-09-27T11:37:26Z</dcterms:modified>
</cp:coreProperties>
</file>