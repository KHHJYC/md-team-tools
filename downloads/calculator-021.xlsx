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계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원&quot;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17334A"/>
      <sz val="15"/>
    </font>
    <font>
      <color rgb="005C6B73"/>
      <sz val="10"/>
    </font>
    <font>
      <b val="1"/>
      <color rgb="0017334A"/>
      <sz val="11"/>
    </font>
  </fonts>
  <fills count="4">
    <fill>
      <patternFill/>
    </fill>
    <fill>
      <patternFill patternType="gray125"/>
    </fill>
    <fill>
      <patternFill patternType="solid">
        <fgColor rgb="00EDF4F0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D7E1DC"/>
      </left>
      <right style="thin">
        <color rgb="00D7E1DC"/>
      </right>
      <top style="thin">
        <color rgb="00D7E1DC"/>
      </top>
      <bottom style="thin">
        <color rgb="00D7E1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64" fontId="0" fillId="3" borderId="1" applyAlignment="1" pivotButton="0" quotePrefix="0" xfId="0">
      <alignment horizontal="right"/>
    </xf>
    <xf numFmtId="0" fontId="2" fillId="0" borderId="1" pivotButton="0" quotePrefix="0" xfId="0"/>
    <xf numFmtId="165" fontId="0" fillId="3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10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4" customWidth="1" min="2" max="2"/>
    <col width="18" customWidth="1" min="3" max="3"/>
    <col width="46" customWidth="1" min="4" max="4"/>
  </cols>
  <sheetData>
    <row r="2">
      <c r="B2" s="1" t="inlineStr">
        <is>
          <t>부가세 기준 마진 계산</t>
        </is>
      </c>
    </row>
    <row r="3">
      <c r="B3" s="2" t="inlineStr">
        <is>
          <t>팔아본 팀장의 실무노트 · 노란 칸만 내 숫자로 바꾸세요</t>
        </is>
      </c>
    </row>
    <row r="5">
      <c r="B5" s="3" t="inlineStr">
        <is>
          <t>입력</t>
        </is>
      </c>
      <c r="C5" s="3" t="inlineStr">
        <is>
          <t>값</t>
        </is>
      </c>
      <c r="D5" s="3" t="inlineStr">
        <is>
          <t>설명</t>
        </is>
      </c>
    </row>
    <row r="6">
      <c r="B6" s="4" t="inlineStr">
        <is>
          <t>결제 판매가(부가세 포함)</t>
        </is>
      </c>
      <c r="C6" s="5" t="n">
        <v>33000</v>
      </c>
      <c r="D6" s="6" t="inlineStr">
        <is>
          <t>쇼핑몰에서 소비자가 결제한 금액</t>
        </is>
      </c>
    </row>
    <row r="7">
      <c r="B7" s="4" t="inlineStr">
        <is>
          <t>매입가(부가세 포함)</t>
        </is>
      </c>
      <c r="C7" s="5" t="n">
        <v>22000</v>
      </c>
      <c r="D7" s="6" t="inlineStr">
        <is>
          <t>거래명세서·세금계산서의 합계금액</t>
        </is>
      </c>
    </row>
    <row r="8">
      <c r="B8" s="4" t="inlineStr">
        <is>
          <t>판매·결제 수수료율</t>
        </is>
      </c>
      <c r="C8" s="7" t="n">
        <v>0.06</v>
      </c>
      <c r="D8" s="6" t="inlineStr">
        <is>
          <t>공급가에 곱하는 비율로 통일했습니다</t>
        </is>
      </c>
    </row>
    <row r="9">
      <c r="B9" s="4" t="inlineStr">
        <is>
          <t>출고 배송비(부가세 포함)</t>
        </is>
      </c>
      <c r="C9" s="5" t="n">
        <v>3300</v>
      </c>
      <c r="D9" s="6" t="inlineStr">
        <is>
          <t>판매자가 부담하는 금액</t>
        </is>
      </c>
    </row>
    <row r="10">
      <c r="B10" s="4" t="inlineStr">
        <is>
          <t>부가세율</t>
        </is>
      </c>
      <c r="C10" s="7" t="n">
        <v>0.1</v>
      </c>
      <c r="D10" s="6" t="inlineStr">
        <is>
          <t>일반과세 과세 상품 기준</t>
        </is>
      </c>
    </row>
    <row r="12">
      <c r="B12" s="3" t="inlineStr">
        <is>
          <t>결과</t>
        </is>
      </c>
      <c r="C12" s="3" t="inlineStr">
        <is>
          <t>값</t>
        </is>
      </c>
      <c r="D12" s="3" t="inlineStr">
        <is>
          <t>계산식</t>
        </is>
      </c>
    </row>
    <row r="13">
      <c r="B13" s="4" t="inlineStr">
        <is>
          <t>판매 공급가</t>
        </is>
      </c>
      <c r="C13" s="8">
        <f>C6/(1+C10)</f>
        <v/>
      </c>
      <c r="D13" s="6" t="inlineStr">
        <is>
          <t>결제금액 ÷ (1 + 부가세율)</t>
        </is>
      </c>
    </row>
    <row r="14">
      <c r="B14" s="4" t="inlineStr">
        <is>
          <t>매입 공급가</t>
        </is>
      </c>
      <c r="C14" s="8">
        <f>C7/(1+C10)</f>
        <v/>
      </c>
      <c r="D14" s="6" t="inlineStr">
        <is>
          <t>매입가 ÷ (1 + 부가세율)</t>
        </is>
      </c>
    </row>
    <row r="15">
      <c r="B15" s="4" t="inlineStr">
        <is>
          <t>수수료(공급가 기준)</t>
        </is>
      </c>
      <c r="C15" s="8">
        <f>C13*C8</f>
        <v/>
      </c>
      <c r="D15" s="6" t="inlineStr">
        <is>
          <t>판매 공급가 × 수수료율</t>
        </is>
      </c>
    </row>
    <row r="16">
      <c r="B16" s="4" t="inlineStr">
        <is>
          <t>배송비(공급가 기준)</t>
        </is>
      </c>
      <c r="C16" s="8">
        <f>C9/(1+C10)</f>
        <v/>
      </c>
      <c r="D16" s="6" t="inlineStr">
        <is>
          <t>배송비 ÷ (1 + 부가세율)</t>
        </is>
      </c>
    </row>
    <row r="17">
      <c r="B17" s="4" t="inlineStr">
        <is>
          <t>공급가 기준 마진율</t>
        </is>
      </c>
      <c r="C17" s="9">
        <f>(C13-C14)/C13</f>
        <v/>
      </c>
      <c r="D17" s="6" t="inlineStr">
        <is>
          <t>기준을 맞춘 값</t>
        </is>
      </c>
    </row>
    <row r="18">
      <c r="B18" s="4" t="inlineStr">
        <is>
          <t>섞어서 계산했을 때</t>
        </is>
      </c>
      <c r="C18" s="9">
        <f>(C6-C14)/C6</f>
        <v/>
      </c>
      <c r="D18" s="6" t="inlineStr">
        <is>
          <t>판매는 포함가, 매입은 공급가</t>
        </is>
      </c>
    </row>
    <row r="19">
      <c r="B19" s="4" t="inlineStr">
        <is>
          <t>차이</t>
        </is>
      </c>
      <c r="C19" s="9">
        <f>C18-C17</f>
        <v/>
      </c>
      <c r="D19" s="6" t="inlineStr">
        <is>
          <t>부풀려진 만큼</t>
        </is>
      </c>
    </row>
    <row r="20">
      <c r="B20" s="4" t="inlineStr">
        <is>
          <t>광고 전 남는 금액</t>
        </is>
      </c>
      <c r="C20" s="8">
        <f>C13-C14-C15-C16</f>
        <v/>
      </c>
      <c r="D20" s="6" t="inlineStr">
        <is>
          <t>공급가 기준</t>
        </is>
      </c>
    </row>
    <row r="23">
      <c r="B23" s="2" t="inlineStr">
        <is>
          <t>· 면세 상품이나 간이과세 사업자는 이 표와 계산이 달라집니다.</t>
        </is>
      </c>
    </row>
    <row r="24">
      <c r="B24" s="2" t="inlineStr">
        <is>
          <t>· 수수료가 결제금액 기준으로 청구된다면 수수료율 칸 대신 실제 청구액을 공급가로 환산해 넣으세요.</t>
        </is>
      </c>
    </row>
    <row r="25">
      <c r="B25" s="2" t="inlineStr">
        <is>
          <t>· 설명용 계산이며 세무 신고용 수치가 아닙니다.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2026-09-27T11:37:26Z</dcterms:created>
  <dcterms:modified xmlns:dcterms="http://purl.org/dc/terms/" xmlns:xsi="http://www.w3.org/2001/XMLSchema-instance" xsi:type="dcterms:W3CDTF">2026-09-27T11:37:26Z</dcterms:modified>
</cp:coreProperties>
</file>