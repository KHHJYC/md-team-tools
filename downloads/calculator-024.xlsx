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건&quot;"/>
    <numFmt numFmtId="165" formatCode="0.0%"/>
    <numFmt numFmtId="166" formatCode="#,##0&quot;원&quot;"/>
    <numFmt numFmtId="167" formatCode="#,##0.0&quot;건&quot;"/>
    <numFmt numFmtId="168" formatCode="#,##0.0&quot;원&quot;"/>
  </numFmts>
  <fonts count="4">
    <font>
      <name val="Calibri"/>
      <family val="2"/>
      <color theme="1"/>
      <sz val="11"/>
      <scheme val="minor"/>
    </font>
    <font>
      <b val="1"/>
      <color rgb="0017334A"/>
      <sz val="15"/>
    </font>
    <font>
      <color rgb="005C6B73"/>
      <sz val="10"/>
    </font>
    <font>
      <b val="1"/>
      <color rgb="0017334A"/>
      <sz val="11"/>
    </font>
  </fonts>
  <fills count="4">
    <fill>
      <patternFill/>
    </fill>
    <fill>
      <patternFill patternType="gray125"/>
    </fill>
    <fill>
      <patternFill patternType="solid">
        <fgColor rgb="00EDF4F0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D7E1DC"/>
      </left>
      <right style="thin">
        <color rgb="00D7E1DC"/>
      </right>
      <top style="thin">
        <color rgb="00D7E1DC"/>
      </top>
      <bottom style="thin">
        <color rgb="00D7E1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3" borderId="1" applyAlignment="1" pivotButton="0" quotePrefix="0" xfId="0">
      <alignment horizontal="right"/>
    </xf>
    <xf numFmtId="0" fontId="2" fillId="0" borderId="1" pivotButton="0" quotePrefix="0" xfId="0"/>
    <xf numFmtId="165" fontId="0" fillId="3" borderId="1" applyAlignment="1" pivotButton="0" quotePrefix="0" xfId="0">
      <alignment horizontal="right"/>
    </xf>
    <xf numFmtId="166" fontId="0" fillId="3" borderId="1" applyAlignment="1" pivotButton="0" quotePrefix="0" xfId="0">
      <alignment horizontal="right"/>
    </xf>
    <xf numFmtId="167" fontId="3" fillId="0" borderId="1" applyAlignment="1" pivotButton="0" quotePrefix="0" xfId="0">
      <alignment horizontal="right"/>
    </xf>
    <xf numFmtId="166" fontId="3" fillId="0" borderId="1" applyAlignment="1" pivotButton="0" quotePrefix="0" xfId="0">
      <alignment horizontal="right"/>
    </xf>
    <xf numFmtId="168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18" customWidth="1" min="3" max="3"/>
    <col width="46" customWidth="1" min="4" max="4"/>
  </cols>
  <sheetData>
    <row r="2">
      <c r="B2" s="1" t="inlineStr">
        <is>
          <t>주문당 반품 비용</t>
        </is>
      </c>
    </row>
    <row r="3">
      <c r="B3" s="2" t="inlineStr">
        <is>
          <t>팔아본 팀장의 실무노트 · 노란 칸만 내 숫자로 바꾸세요</t>
        </is>
      </c>
    </row>
    <row r="5">
      <c r="B5" s="3" t="inlineStr">
        <is>
          <t>입력</t>
        </is>
      </c>
      <c r="C5" s="3" t="inlineStr">
        <is>
          <t>값</t>
        </is>
      </c>
      <c r="D5" s="3" t="inlineStr">
        <is>
          <t>설명</t>
        </is>
      </c>
    </row>
    <row r="6">
      <c r="B6" s="4" t="inlineStr">
        <is>
          <t>월 주문 건수</t>
        </is>
      </c>
      <c r="C6" s="5" t="n">
        <v>1000</v>
      </c>
      <c r="D6" s="6" t="inlineStr">
        <is>
          <t>같은 달 기준</t>
        </is>
      </c>
    </row>
    <row r="7">
      <c r="B7" s="4" t="inlineStr">
        <is>
          <t>반품률</t>
        </is>
      </c>
      <c r="C7" s="7" t="n">
        <v>0.06</v>
      </c>
      <c r="D7" s="6" t="inlineStr">
        <is>
          <t>전체 반품</t>
        </is>
      </c>
    </row>
    <row r="8">
      <c r="B8" s="4" t="inlineStr">
        <is>
          <t>판매자 귀책 비율</t>
        </is>
      </c>
      <c r="C8" s="7" t="n">
        <v>0.25</v>
      </c>
      <c r="D8" s="6" t="inlineStr">
        <is>
          <t>표시·광고 상이, 오배송, 하자</t>
        </is>
      </c>
    </row>
    <row r="9">
      <c r="B9" s="4" t="inlineStr">
        <is>
          <t>회수비</t>
        </is>
      </c>
      <c r="C9" s="8" t="n">
        <v>3000</v>
      </c>
      <c r="D9" s="6" t="inlineStr">
        <is>
          <t>건당</t>
        </is>
      </c>
    </row>
    <row r="10">
      <c r="B10" s="4" t="inlineStr">
        <is>
          <t>재배송비</t>
        </is>
      </c>
      <c r="C10" s="8" t="n">
        <v>3000</v>
      </c>
      <c r="D10" s="6" t="inlineStr">
        <is>
          <t>건당</t>
        </is>
      </c>
    </row>
    <row r="11">
      <c r="B11" s="4" t="inlineStr">
        <is>
          <t>재입고 검수비</t>
        </is>
      </c>
      <c r="C11" s="8" t="n">
        <v>1000</v>
      </c>
      <c r="D11" s="6" t="inlineStr">
        <is>
          <t>반품 건당 인건비</t>
        </is>
      </c>
    </row>
    <row r="12">
      <c r="B12" s="4" t="inlineStr">
        <is>
          <t>재판매 불가 건수</t>
        </is>
      </c>
      <c r="C12" s="5" t="n">
        <v>3</v>
      </c>
      <c r="D12" s="6" t="inlineStr">
        <is>
          <t>폐기·B급 전환</t>
        </is>
      </c>
    </row>
    <row r="13">
      <c r="B13" s="4" t="inlineStr">
        <is>
          <t>상품 원가</t>
        </is>
      </c>
      <c r="C13" s="8" t="n">
        <v>20000</v>
      </c>
      <c r="D13" s="6" t="inlineStr">
        <is>
          <t>입고 원가 기준</t>
        </is>
      </c>
    </row>
    <row r="15">
      <c r="B15" s="3" t="inlineStr">
        <is>
          <t>결과</t>
        </is>
      </c>
      <c r="C15" s="3" t="inlineStr">
        <is>
          <t>값</t>
        </is>
      </c>
      <c r="D15" s="3" t="inlineStr">
        <is>
          <t>계산식</t>
        </is>
      </c>
    </row>
    <row r="16">
      <c r="B16" s="4" t="inlineStr">
        <is>
          <t>반품 건수</t>
        </is>
      </c>
      <c r="C16" s="9">
        <f>C6*C7</f>
        <v/>
      </c>
      <c r="D16" s="6" t="inlineStr">
        <is>
          <t>월 주문 × 반품률</t>
        </is>
      </c>
    </row>
    <row r="17">
      <c r="B17" s="4" t="inlineStr">
        <is>
          <t>판매자 귀책 건수</t>
        </is>
      </c>
      <c r="C17" s="9">
        <f>C16*C8</f>
        <v/>
      </c>
      <c r="D17" s="6" t="inlineStr">
        <is>
          <t>법상 판매자 부담</t>
        </is>
      </c>
    </row>
    <row r="18">
      <c r="B18" s="4" t="inlineStr">
        <is>
          <t>판매자 부담 택배비</t>
        </is>
      </c>
      <c r="C18" s="10">
        <f>C17*(C9+C10)</f>
        <v/>
      </c>
      <c r="D18" s="6" t="inlineStr">
        <is>
          <t>단순 변심은 제외</t>
        </is>
      </c>
    </row>
    <row r="19">
      <c r="B19" s="4" t="inlineStr">
        <is>
          <t>재입고 검수비 합계</t>
        </is>
      </c>
      <c r="C19" s="10">
        <f>C16*C11</f>
        <v/>
      </c>
      <c r="D19" s="6" t="inlineStr">
        <is>
          <t>전체 반품 대상</t>
        </is>
      </c>
    </row>
    <row r="20">
      <c r="B20" s="4" t="inlineStr">
        <is>
          <t>재판매 불가 손실</t>
        </is>
      </c>
      <c r="C20" s="10">
        <f>C12*C13</f>
        <v/>
      </c>
      <c r="D20" s="6" t="inlineStr">
        <is>
          <t>원가 전액</t>
        </is>
      </c>
    </row>
    <row r="21">
      <c r="B21" s="4" t="inlineStr">
        <is>
          <t>월 합계</t>
        </is>
      </c>
      <c r="C21" s="10">
        <f>C18+C19+C20</f>
        <v/>
      </c>
      <c r="D21" s="6" t="inlineStr"/>
    </row>
    <row r="22">
      <c r="B22" s="4" t="inlineStr">
        <is>
          <t>주문당 반품 비용</t>
        </is>
      </c>
      <c r="C22" s="11">
        <f>C21/C6</f>
        <v/>
      </c>
      <c r="D22" s="6" t="inlineStr">
        <is>
          <t>손익표에 얹을 금액</t>
        </is>
      </c>
    </row>
    <row r="25">
      <c r="B25" s="2" t="inlineStr">
        <is>
          <t>· 전자상거래법 제18조 제9항: 단순 변심의 반환 비용은 소비자 부담. 제10항: 표시·광고와 다른 경우는 판매자 부담.</t>
        </is>
      </c>
    </row>
    <row r="26">
      <c r="B26" s="2" t="inlineStr">
        <is>
          <t>· 회수비를 선지급 후 환불금에서 차감하는 구조라면 미회수분을 따로 더하세요.</t>
        </is>
      </c>
    </row>
    <row r="27">
      <c r="B27" s="2" t="inlineStr">
        <is>
          <t>· 법률 자문이 아닙니다. 개별 분쟁은 전문가 확인이 필요합니다.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2026-09-27T11:37:26Z</dcterms:created>
  <dcterms:modified xmlns:dcterms="http://purl.org/dc/terms/" xmlns:xsi="http://www.w3.org/2001/XMLSchema-instance" xsi:type="dcterms:W3CDTF">2026-09-27T11:37:26Z</dcterms:modified>
</cp:coreProperties>
</file>