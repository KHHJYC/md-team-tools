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yjbab\AppData\Local\Temp\"/>
    </mc:Choice>
  </mc:AlternateContent>
  <xr:revisionPtr revIDLastSave="0" documentId="8_{3AFA45D5-EDEA-4A15-9EC5-FCF5E7B563DA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시작" sheetId="1" r:id="rId1"/>
    <sheet name="001" sheetId="2" r:id="rId2"/>
    <sheet name="002" sheetId="3" r:id="rId3"/>
    <sheet name="003" sheetId="4" r:id="rId4"/>
    <sheet name="004" sheetId="5" r:id="rId5"/>
    <sheet name="005" sheetId="6" r:id="rId6"/>
    <sheet name="006" sheetId="7" r:id="rId7"/>
    <sheet name="007" sheetId="8" r:id="rId8"/>
    <sheet name="008" sheetId="9" r:id="rId9"/>
    <sheet name="009" sheetId="10" r:id="rId10"/>
    <sheet name="010" sheetId="11" r:id="rId11"/>
    <sheet name="012" sheetId="12" r:id="rId12"/>
    <sheet name="013" sheetId="13" r:id="rId13"/>
    <sheet name="015" sheetId="14" r:id="rId14"/>
    <sheet name="016" sheetId="15" r:id="rId15"/>
    <sheet name="017" sheetId="16" r:id="rId16"/>
    <sheet name="018" sheetId="17" r:id="rId17"/>
    <sheet name="019" sheetId="18" r:id="rId18"/>
    <sheet name="목표판매가" sheetId="19" r:id="rId19"/>
    <sheet name="행사손익분기" sheetId="20" r:id="rId20"/>
    <sheet name="상품비교" sheetId="21" r:id="rId21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9" i="21" l="1"/>
  <c r="H18" i="21"/>
  <c r="K18" i="21" s="1"/>
  <c r="L18" i="21" s="1"/>
  <c r="H17" i="21"/>
  <c r="H16" i="21"/>
  <c r="K15" i="21"/>
  <c r="L15" i="21" s="1"/>
  <c r="H15" i="21"/>
  <c r="H14" i="21"/>
  <c r="H13" i="21"/>
  <c r="H12" i="21"/>
  <c r="H11" i="21"/>
  <c r="H10" i="21"/>
  <c r="B5" i="20"/>
  <c r="B5" i="19"/>
  <c r="B7" i="18"/>
  <c r="B6" i="18"/>
  <c r="B5" i="18"/>
  <c r="B6" i="17"/>
  <c r="B5" i="17"/>
  <c r="B7" i="17" s="1"/>
  <c r="B6" i="16"/>
  <c r="B5" i="16"/>
  <c r="B7" i="16" s="1"/>
  <c r="B5" i="15"/>
  <c r="B6" i="15" s="1"/>
  <c r="B5" i="14"/>
  <c r="B6" i="14" s="1"/>
  <c r="B6" i="13"/>
  <c r="B5" i="13"/>
  <c r="B8" i="12"/>
  <c r="B6" i="12"/>
  <c r="B5" i="12"/>
  <c r="B7" i="12" s="1"/>
  <c r="B5" i="11"/>
  <c r="B7" i="10"/>
  <c r="B5" i="10"/>
  <c r="B6" i="10" s="1"/>
  <c r="D12" i="9"/>
  <c r="B7" i="9"/>
  <c r="B6" i="9"/>
  <c r="B5" i="9"/>
  <c r="B7" i="8"/>
  <c r="B6" i="8"/>
  <c r="B5" i="8"/>
  <c r="B6" i="7"/>
  <c r="B7" i="7" s="1"/>
  <c r="B5" i="7"/>
  <c r="B8" i="7" s="1"/>
  <c r="B7" i="6"/>
  <c r="B6" i="6"/>
  <c r="B5" i="6"/>
  <c r="B8" i="5"/>
  <c r="B7" i="5"/>
  <c r="B6" i="5"/>
  <c r="B5" i="5"/>
  <c r="B8" i="4"/>
  <c r="B7" i="4"/>
  <c r="B5" i="4"/>
  <c r="B6" i="4" s="1"/>
  <c r="B6" i="3"/>
  <c r="B5" i="3"/>
  <c r="B7" i="3" s="1"/>
  <c r="B6" i="2"/>
  <c r="B5" i="2"/>
  <c r="I15" i="21" l="1"/>
  <c r="J15" i="21"/>
  <c r="K19" i="21"/>
  <c r="L19" i="21" s="1"/>
  <c r="J19" i="21"/>
  <c r="I19" i="21"/>
  <c r="J18" i="21"/>
  <c r="I18" i="21"/>
  <c r="K17" i="21"/>
  <c r="L17" i="21" s="1"/>
  <c r="J17" i="21"/>
  <c r="I17" i="21"/>
  <c r="K16" i="21"/>
  <c r="L16" i="21" s="1"/>
  <c r="J16" i="21"/>
  <c r="I16" i="21"/>
  <c r="K14" i="21"/>
  <c r="L14" i="21" s="1"/>
  <c r="J14" i="21"/>
  <c r="I14" i="21"/>
  <c r="J13" i="21"/>
  <c r="K13" i="21"/>
  <c r="L13" i="21" s="1"/>
  <c r="I13" i="21"/>
  <c r="K12" i="21"/>
  <c r="L12" i="21" s="1"/>
  <c r="J12" i="21"/>
  <c r="I12" i="21"/>
  <c r="K11" i="21"/>
  <c r="L11" i="21" s="1"/>
  <c r="J11" i="21"/>
  <c r="I11" i="21"/>
  <c r="J10" i="21"/>
  <c r="I10" i="21"/>
  <c r="K10" i="21"/>
  <c r="L10" i="21" s="1"/>
  <c r="E10" i="20"/>
  <c r="E5" i="20"/>
  <c r="E6" i="20"/>
  <c r="E8" i="20"/>
  <c r="B8" i="20"/>
  <c r="E7" i="20"/>
  <c r="B7" i="20"/>
  <c r="E9" i="20"/>
  <c r="B6" i="20"/>
  <c r="E10" i="19"/>
  <c r="E9" i="19"/>
  <c r="E8" i="19"/>
  <c r="E11" i="19"/>
  <c r="B7" i="19"/>
  <c r="E6" i="19"/>
  <c r="B6" i="19"/>
  <c r="E5" i="19"/>
  <c r="E7" i="19"/>
  <c r="B6" i="11"/>
  <c r="B7" i="11"/>
  <c r="G4" i="21" l="1"/>
  <c r="C4" i="21"/>
</calcChain>
</file>

<file path=xl/sharedStrings.xml><?xml version="1.0" encoding="utf-8"?>
<sst xmlns="http://schemas.openxmlformats.org/spreadsheetml/2006/main" count="525" uniqueCount="298">
  <si>
    <t>팔아본 팀장의 계산 스튜디오</t>
  </si>
  <si>
    <t>가격 · 광고 · 재고를 숫자로 비교하세요</t>
  </si>
  <si>
    <t>계산 도구</t>
  </si>
  <si>
    <t>사용 목적</t>
  </si>
  <si>
    <t>추가 실무 도구</t>
  </si>
  <si>
    <t>001  마진과 주문 손익 →</t>
  </si>
  <si>
    <t>마진과 주문 손익 계산 및 조건 확인</t>
  </si>
  <si>
    <t>002  할인 행사 손익 →</t>
  </si>
  <si>
    <t>할인 행사 손익 계산 및 조건 확인</t>
  </si>
  <si>
    <t>목표판매가 열기 →</t>
  </si>
  <si>
    <t>003  ROAS와 광고비 →</t>
  </si>
  <si>
    <t>ROAS와 광고비 계산 및 조건 확인</t>
  </si>
  <si>
    <t>004  무료배송 기준 →</t>
  </si>
  <si>
    <t>무료배송 기준 계산 및 조건 확인</t>
  </si>
  <si>
    <t>행사손익분기 열기 →</t>
  </si>
  <si>
    <t>005  정산 대사 →</t>
  </si>
  <si>
    <t>정산 대사 계산 및 조건 확인</t>
  </si>
  <si>
    <t>006  묶음 판매 →</t>
  </si>
  <si>
    <t>묶음 판매 계산 및 조건 확인</t>
  </si>
  <si>
    <t>상품비교 열기 →</t>
  </si>
  <si>
    <t>007  중복 할인 →</t>
  </si>
  <si>
    <t>중복 할인 계산 및 조건 확인</t>
  </si>
  <si>
    <t>008  현금 잔액 →</t>
  </si>
  <si>
    <t>현금 잔액 계산 및 조건 확인</t>
  </si>
  <si>
    <t>009  반품 비용 →</t>
  </si>
  <si>
    <t>반품 비용 계산 및 조건 확인</t>
  </si>
  <si>
    <t>노란 셀 = 직접 입력</t>
  </si>
  <si>
    <t>010  적립금 사용 →</t>
  </si>
  <si>
    <t>적립금 사용 계산 및 조건 확인</t>
  </si>
  <si>
    <t>012  전환율 시나리오 →</t>
  </si>
  <si>
    <t>전환율 시나리오 계산 및 조건 확인</t>
  </si>
  <si>
    <t>초록 셀 = 계산 결과</t>
  </si>
  <si>
    <t>013  허용 CPC →</t>
  </si>
  <si>
    <t>허용 CPC 계산 및 조건 확인</t>
  </si>
  <si>
    <t>015  재고 소진 →</t>
  </si>
  <si>
    <t>재고 소진 계산 및 조건 확인</t>
  </si>
  <si>
    <t>016  발주점 →</t>
  </si>
  <si>
    <t>발주점 계산 및 조건 확인</t>
  </si>
  <si>
    <t>예시값은 실제 사업 실적이 아닙니다.</t>
  </si>
  <si>
    <t>017  재고 처분 →</t>
  </si>
  <si>
    <t>재고 처분 계산 및 조건 확인</t>
  </si>
  <si>
    <t>비율 6%는 숫자 6으로 입력합니다.</t>
  </si>
  <si>
    <t>018  상품 기여금 →</t>
  </si>
  <si>
    <t>상품 기여금 계산 및 조건 확인</t>
  </si>
  <si>
    <t>웹 입력값과 자동 연동되지 않습니다.</t>
  </si>
  <si>
    <t>019  가격 인상 →</t>
  </si>
  <si>
    <t>가격 인상 계산 및 조건 확인</t>
  </si>
  <si>
    <t>수식 셀은 덮어쓰지 마세요.</t>
  </si>
  <si>
    <t>001 실무 계산표</t>
  </si>
  <si>
    <t>팔아본 팀장의 실무노트</t>
  </si>
  <si>
    <t>계산 결과</t>
  </si>
  <si>
    <t>값</t>
  </si>
  <si>
    <t>사용 방법</t>
  </si>
  <si>
    <t>원가 차감 마진율 (%)</t>
  </si>
  <si>
    <t>시트 번호는 글 번호와 같습니다.</t>
  </si>
  <si>
    <t>주문 기여금 (원)</t>
  </si>
  <si>
    <t>입력은 예시값입니다. 내 숫자로 바꾸세요.</t>
  </si>
  <si>
    <t>비율은 6%라면 6을 입력합니다.</t>
  </si>
  <si>
    <t>현재 웹 입력값이 아닌 독립 엑셀 양식입니다.</t>
  </si>
  <si>
    <t>주문 기여금은 수수료와 배송·포장비를</t>
  </si>
  <si>
    <t>차감한 값입니다. 광고비·고정비·세금</t>
  </si>
  <si>
    <t>입력 항목</t>
  </si>
  <si>
    <t>노란 칸을 수정하세요</t>
  </si>
  <si>
    <t>효과는 제외합니다.</t>
  </si>
  <si>
    <t>판매가 (원)</t>
  </si>
  <si>
    <t>상품원가 (원)</t>
  </si>
  <si>
    <t>수수료율 (%)</t>
  </si>
  <si>
    <t>배송·포장비 (원)</t>
  </si>
  <si>
    <t>입력 확인: 빈칸·범위·양수 조건을 확인하세요.</t>
  </si>
  <si>
    <t>← 계산 스튜디오로 돌아가기</t>
  </si>
  <si>
    <t>002 실무 계산표</t>
  </si>
  <si>
    <t>기존 주문 기여금 (원)</t>
  </si>
  <si>
    <t>할인 후 주문 기여금 (원)</t>
  </si>
  <si>
    <t>기존 합계 유지 주문 (건)</t>
  </si>
  <si>
    <t>인상·할인 전후 원가와 배송비가 같은</t>
  </si>
  <si>
    <t>가정입니다. 기여금이 양수인 경우에 필요한</t>
  </si>
  <si>
    <t>주문 수를 비교합니다. 추가 행사비는</t>
  </si>
  <si>
    <t>제외합니다.</t>
  </si>
  <si>
    <t>할인율 (%)</t>
  </si>
  <si>
    <t>기존 주문 (건)</t>
  </si>
  <si>
    <t>003 실무 계산표</t>
  </si>
  <si>
    <t>광고 전 기여금 (원)</t>
  </si>
  <si>
    <t>광고 후 기여금 (원)</t>
  </si>
  <si>
    <t>광고비 회수 ROAS (%)</t>
  </si>
  <si>
    <t>현재 ROAS (%)</t>
  </si>
  <si>
    <t>전환 가치가 매출인 경우에 사용합니다.</t>
  </si>
  <si>
    <t>기여율은 광고 전 기준입니다. 고정비·세금</t>
  </si>
  <si>
    <t>광고 전 기여율 (%)</t>
  </si>
  <si>
    <t>광고 매출 (원)</t>
  </si>
  <si>
    <t>광고비 (원)</t>
  </si>
  <si>
    <t>004 실무 계산표</t>
  </si>
  <si>
    <t>목표 기여금 기준 (원)</t>
  </si>
  <si>
    <t>기존 수준 유지 기준 (원)</t>
  </si>
  <si>
    <t>추가 구매액 (원)</t>
  </si>
  <si>
    <t>배송 전 기여율에는 상품원가와 매출 비례</t>
  </si>
  <si>
    <t>비용을 반영합니다. 배송·포장비는 별도</t>
  </si>
  <si>
    <t>차감합니다.</t>
  </si>
  <si>
    <t>배송 전 기여율 (%)</t>
  </si>
  <si>
    <t>택배비 (원)</t>
  </si>
  <si>
    <t>포장비 (원)</t>
  </si>
  <si>
    <t>목표 기여금 (원)</t>
  </si>
  <si>
    <t>기존 주문액 (원)</t>
  </si>
  <si>
    <t>고객 배송비 (원)</t>
  </si>
  <si>
    <t>005 실무 계산표</t>
  </si>
  <si>
    <t>판매가 기준 기여금 (원)</t>
  </si>
  <si>
    <t>정산금 기준 기여금 (원)</t>
  </si>
  <si>
    <t>두 경로의 차이 (원)</t>
  </si>
  <si>
    <t>판매가 경로 =</t>
  </si>
  <si>
    <t>판매가−원가−수수료−택배−포장. 정산금</t>
  </si>
  <si>
    <t>경로 = 정산금−원가−택배−포장.</t>
  </si>
  <si>
    <t>정산금에서는 수수료만 차감됐다고</t>
  </si>
  <si>
    <t>가정합니다.</t>
  </si>
  <si>
    <t>수수료만 차감한 정산금 (원)</t>
  </si>
  <si>
    <t>006 실무 계산표</t>
  </si>
  <si>
    <t>낱개 여러 주문 기여금 (원)</t>
  </si>
  <si>
    <t>묶음 한 주문 기여금 (원)</t>
  </si>
  <si>
    <t>묶음의 차이 (원)</t>
  </si>
  <si>
    <t>같은 기여금의 최소 묶음가 (원)</t>
  </si>
  <si>
    <t>낱개 n건 =</t>
  </si>
  <si>
    <t>n×(낱개가×(1−수수료율)−원가−배송포장</t>
  </si>
  <si>
    <t>). 묶음 =</t>
  </si>
  <si>
    <t>낱개 판매가 (원)</t>
  </si>
  <si>
    <t>묶음가×(1−수수료율)−n×원가−배송포장.</t>
  </si>
  <si>
    <t>개당 원가 (원)</t>
  </si>
  <si>
    <t>묶음도 같은 배송·포장 비용이라고</t>
  </si>
  <si>
    <t>주문당 배송·포장 (원)</t>
  </si>
  <si>
    <t>묶음 수량 (개)</t>
  </si>
  <si>
    <t>묶음 판매가 (원)</t>
  </si>
  <si>
    <t>007 실무 계산표</t>
  </si>
  <si>
    <t>순차 적용 가격 (원)</t>
  </si>
  <si>
    <t>같은 원금 적용 가격 (원)</t>
  </si>
  <si>
    <t>순차 적용 할인율 (%)</t>
  </si>
  <si>
    <t>순차 가격 = 정상가×(1−첫</t>
  </si>
  <si>
    <t>비율)×(1−다음 비율). 같은 원금 가격</t>
  </si>
  <si>
    <t>정상가 (원)</t>
  </si>
  <si>
    <t>결합 조건·한도·반올림은 플랫폼에서</t>
  </si>
  <si>
    <t>첫 할인 (%)</t>
  </si>
  <si>
    <t>확인합니다.</t>
  </si>
  <si>
    <t>다음 할인 (%)</t>
  </si>
  <si>
    <t>008 실무 계산표</t>
  </si>
  <si>
    <t>입금 전 잔액 (원)</t>
  </si>
  <si>
    <t>부족액 (원)</t>
  </si>
  <si>
    <t>입금 후 잔액 (원)</t>
  </si>
  <si>
    <t>중간 잔액 = 시작잔액−선지급. 이후 잔액</t>
  </si>
  <si>
    <t>사이클만 비교하며 다른 입출금은</t>
  </si>
  <si>
    <t>시작 잔액 (원)</t>
  </si>
  <si>
    <t>입금 전 지급액 (원)</t>
  </si>
  <si>
    <t>이후 정산 입금 (원)</t>
  </si>
  <si>
    <t>009 실무 계산표</t>
  </si>
  <si>
    <t>반품 반영 기여금 (원)</t>
  </si>
  <si>
    <t>반품 전 대비 감소 (원)</t>
  </si>
  <si>
    <t>주문 기준 반품률 (%)</t>
  </si>
  <si>
    <t>합계 = (전체−반품)×정상</t>
  </si>
  <si>
    <t>기여금−반품×회수 못한 비용. 전액 환불,</t>
  </si>
  <si>
    <t>회수품 재판매 가능, 고객 부담금 없음의</t>
  </si>
  <si>
    <t>전체 주문 수 (건)</t>
  </si>
  <si>
    <t>가정입니다. 비용은 실제 남은 항목만</t>
  </si>
  <si>
    <t>반품 주문 수 (건)</t>
  </si>
  <si>
    <t>넣습니다.</t>
  </si>
  <si>
    <t>정상 주문 기여금 (원)</t>
  </si>
  <si>
    <t>반품 건당 회수 못한 비용 (원)</t>
  </si>
  <si>
    <t>010 실무 계산표</t>
  </si>
  <si>
    <t>발급 액면 금액 (원)</t>
  </si>
  <si>
    <t>가상 액면 사용액 (원)</t>
  </si>
  <si>
    <t>가상 미사용 잔액 (원)</t>
  </si>
  <si>
    <t>발급액 = 건수×건당 혜택. 가상 액면</t>
  </si>
  <si>
    <t>사용액 = 발급액×사용률. 판매자 무상</t>
  </si>
  <si>
    <t>혜택만 대상이며 회계 인식·추가 구매</t>
  </si>
  <si>
    <t>발급 대상 주문 수 (건)</t>
  </si>
  <si>
    <t>기여금·수수료 변화는 계산하지 않습니다.</t>
  </si>
  <si>
    <t>건당 무상 혜택 (원)</t>
  </si>
  <si>
    <t>가정한 액면 사용률 (%)</t>
  </si>
  <si>
    <t>012 실무 계산표</t>
  </si>
  <si>
    <t>예상 주문 수 (건)</t>
  </si>
  <si>
    <t>광고비 회수 전환율 (%)</t>
  </si>
  <si>
    <t>예상 주문 = 클릭×전환율. 광고 후</t>
  </si>
  <si>
    <t>기여금 = 예상 주문×주문</t>
  </si>
  <si>
    <t>기여금−클릭×CPC. 예상 건수는 소수도</t>
  </si>
  <si>
    <t>클릭 수 (회)</t>
  </si>
  <si>
    <t>표시합니다. 실제 주문 예측이나 통계</t>
  </si>
  <si>
    <t>평균 CPC (원)</t>
  </si>
  <si>
    <t>검정이 아닙니다.</t>
  </si>
  <si>
    <t>구매 전환율 (%)</t>
  </si>
  <si>
    <t>광고 전 주문 기여금 (원)</t>
  </si>
  <si>
    <t>013 실무 계산표</t>
  </si>
  <si>
    <t>회수 평균 CPC (원)</t>
  </si>
  <si>
    <t>목표 평균 CPC (원)</t>
  </si>
  <si>
    <t>회수 CPC = 주문 기여금×전환율. 목표</t>
  </si>
  <si>
    <t>CPC = (주문 기여금−목표</t>
  </si>
  <si>
    <t>기여금)×전환율. 평균 클릭 비용</t>
  </si>
  <si>
    <t>비교용이며 자동 입찰 설정값을 추천하지</t>
  </si>
  <si>
    <t>클릭 기준 구매 전환율 (%)</t>
  </si>
  <si>
    <t>않습니다.</t>
  </si>
  <si>
    <t>광고 후 목표 기여금 (원)</t>
  </si>
  <si>
    <t>015 실무 계산표</t>
  </si>
  <si>
    <t>하루 평균 판매량 (개)</t>
  </si>
  <si>
    <t>남은 소진 기간 (일)</t>
  </si>
  <si>
    <t>일평균 판매 = 기간 판매량÷기간 일수.</t>
  </si>
  <si>
    <t>남은 일수 = 현재 가용재고÷일평균 판매.</t>
  </si>
  <si>
    <t>입고 없음·같은 판매 속도 유지 가정이며</t>
  </si>
  <si>
    <t>현재 판매 가능 재고 (개)</t>
  </si>
  <si>
    <t>품절일은 자동 보정하지 않습니다.</t>
  </si>
  <si>
    <t>기간 내 판매 수량 (개)</t>
  </si>
  <si>
    <t>판매 기간 (일)</t>
  </si>
  <si>
    <t>016 실무 계산표</t>
  </si>
  <si>
    <t>조달 기간 예상 판매 (개)</t>
  </si>
  <si>
    <t>단순 발주점 (개)</t>
  </si>
  <si>
    <t>발주점 = 평균 일 판매량×조달 일수+여유</t>
  </si>
  <si>
    <t>재고. 개 단위 올림. 여유 재고는</t>
  </si>
  <si>
    <t>사용자가 정한 가정이며 예정 입고</t>
  </si>
  <si>
    <t>평균 일 판매량 (개)</t>
  </si>
  <si>
    <t>날짜·수량은 별도 확인해야 합니다.</t>
  </si>
  <si>
    <t>판매 가능 입고까지 (일)</t>
  </si>
  <si>
    <t>여유 재고 (개)</t>
  </si>
  <si>
    <t>017 실무 계산표</t>
  </si>
  <si>
    <t>지금 순회수액 (원)</t>
  </si>
  <si>
    <t>기다림 비용 차감 후 (원)</t>
  </si>
  <si>
    <t>기다림의 차이 (원)</t>
  </si>
  <si>
    <t>기다림 비교값 = 예상 순회수액−추가</t>
  </si>
  <si>
    <t>비용. 차이 = 기다림 비교값−즉시</t>
  </si>
  <si>
    <t>순회수액. 과거 공통 매입액은 제외하며</t>
  </si>
  <si>
    <t>지금 판매 순회수액 (원)</t>
  </si>
  <si>
    <t>전체 이익을 뜻하지 않습니다.</t>
  </si>
  <si>
    <t>기다린 뒤 예상 순회수액 (원)</t>
  </si>
  <si>
    <t>추가 보관·처리비 (원)</t>
  </si>
  <si>
    <t>018 실무 계산표</t>
  </si>
  <si>
    <t>상품 A 기여금 (원)</t>
  </si>
  <si>
    <t>상품 B 기여금 (원)</t>
  </si>
  <si>
    <t>B−A 차이 (원)</t>
  </si>
  <si>
    <t>기여금 = 매출×기여율. 두 비율은 같은</t>
  </si>
  <si>
    <t>비용 범위여야 합니다. 광고비·고정비는</t>
  </si>
  <si>
    <t>비율에 이미 포함한 경우에만 반영됩니다.</t>
  </si>
  <si>
    <t>상품 A 매출 (원)</t>
  </si>
  <si>
    <t>상품 A 기여율 (%)</t>
  </si>
  <si>
    <t>상품 B 매출 (원)</t>
  </si>
  <si>
    <t>상품 B 기여율 (%)</t>
  </si>
  <si>
    <t>019 실무 계산표</t>
  </si>
  <si>
    <t>새 주문 기여금 (원)</t>
  </si>
  <si>
    <t>주문 기여금 =</t>
  </si>
  <si>
    <t>가격×(1−수수료율)−원가−배송포장. 필요</t>
  </si>
  <si>
    <t>주문 = 기존 기여금×기존 건수÷새</t>
  </si>
  <si>
    <t>기존 판매가 (원)</t>
  </si>
  <si>
    <t>기여금, 올림. 인상 전후 원가가 같다고</t>
  </si>
  <si>
    <t>새 판매가 (원)</t>
  </si>
  <si>
    <t>기존 주문 수 (건)</t>
  </si>
  <si>
    <t>목표에서 판매가를 거꾸로 계산</t>
  </si>
  <si>
    <t>원 단위 올림 판매가</t>
  </si>
  <si>
    <t>계산값</t>
  </si>
  <si>
    <t>목표 기여율을 바꿔 비교</t>
  </si>
  <si>
    <t>필요 판매가 (원)</t>
  </si>
  <si>
    <t>목표 기여율 기준 (원)</t>
  </si>
  <si>
    <t>할인 전 표시가 기준 (원)</t>
  </si>
  <si>
    <t>매출 비례 수수료 (%)</t>
  </si>
  <si>
    <t>목표 주문 기여율 (%)</t>
  </si>
  <si>
    <t>목표 주문 기여금 (원)</t>
  </si>
  <si>
    <t>예정 할인율 (%)</t>
  </si>
  <si>
    <t>기여율은 광고비·고정비 차감 전입니다.</t>
  </si>
  <si>
    <t>표시가는 목표 기여율 판매가를 기준으로 역산합니다.</t>
  </si>
  <si>
    <t>행사 비용까지 회수하려면</t>
  </si>
  <si>
    <t>판단할 결과</t>
  </si>
  <si>
    <t>주문 수 (건)</t>
  </si>
  <si>
    <t>행사비 차감 후 (원)</t>
  </si>
  <si>
    <t>행사비 회수 주문 (건)</t>
  </si>
  <si>
    <t>목표까지 필요한 주문 (건)</t>
  </si>
  <si>
    <t>예상 주문 기준 행사 잔여금 (원)</t>
  </si>
  <si>
    <t>실제 판매가 (원)</t>
  </si>
  <si>
    <t>추가 행사 고정비 (원)</t>
  </si>
  <si>
    <t>목표 잔여금 (원)</t>
  </si>
  <si>
    <t>예상 주문 (건)</t>
  </si>
  <si>
    <t>추가 행사비는 주문 기여금에서 중복 차감하지 않습니다.</t>
  </si>
  <si>
    <t>상시 고정비와 세금 효과는 별도입니다.</t>
  </si>
  <si>
    <t>상품 10개를 같은 비용 기준으로 비교</t>
  </si>
  <si>
    <t>총 광고 후 기여금 (원)</t>
  </si>
  <si>
    <t>총 매출 (원)</t>
  </si>
  <si>
    <t>노란 칸에 상품별 값을 입력하세요. 광고비는 같은 기간의 상품별 총액입니다.</t>
  </si>
  <si>
    <t>상품</t>
  </si>
  <si>
    <t>판매가 원</t>
  </si>
  <si>
    <t>원가 원</t>
  </si>
  <si>
    <t>수수료 %</t>
  </si>
  <si>
    <t>배송포장 원</t>
  </si>
  <si>
    <t>주문 건</t>
  </si>
  <si>
    <t>광고비 원</t>
  </si>
  <si>
    <t>주문 기여금 원</t>
  </si>
  <si>
    <t>기여율 %</t>
  </si>
  <si>
    <t>매출 원</t>
  </si>
  <si>
    <t>광고 전 합계 원</t>
  </si>
  <si>
    <t>광고 후 합계 원</t>
  </si>
  <si>
    <t>예시 상품 1</t>
  </si>
  <si>
    <t>예시 상품 2</t>
  </si>
  <si>
    <t>예시 상품 3</t>
  </si>
  <si>
    <t>예시 상품 4</t>
  </si>
  <si>
    <t>예시 상품 5</t>
  </si>
  <si>
    <t>예시 상품 6</t>
  </si>
  <si>
    <t>예시 상품 7</t>
  </si>
  <si>
    <t>예시 상품 8</t>
  </si>
  <si>
    <t>예시 상품 9</t>
  </si>
  <si>
    <t>예시 상품 10</t>
  </si>
  <si>
    <t>배송·포장비는 주문당 값입니다. 한 주문에 여러 상품이 있으면 비용 배분 기준을 먼저 맞추세요.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</si>
</sst>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7" formatCode="#,##0;[Red]\(#,##0\);0"/>
    <numFmt numFmtId="178" formatCode="0.0"/>
    <numFmt numFmtId="179" formatCode="0.00&quot; %&quot;"/>
    <numFmt numFmtId="180" formatCode="#,##0&quot; 원&quot;"/>
  </numFmts>
  <fonts count="18">
    <font>
      <sz val="11"/>
      <name val="Carlito"/>
    </font>
    <font>
      <sz val="11"/>
      <name val="Malgun Gothic"/>
      <family val="3"/>
      <charset val="129"/>
    </font>
    <font>
      <sz val="11"/>
      <color rgb="FFFFFFFF"/>
      <name val="Malgun Gothic"/>
      <family val="3"/>
      <charset val="129"/>
    </font>
    <font>
      <sz val="20"/>
      <color rgb="FFFFFFFF"/>
      <name val="Malgun Gothic"/>
      <family val="3"/>
      <charset val="129"/>
    </font>
    <font>
      <sz val="11"/>
      <color rgb="FF255CBA"/>
      <name val="Malgun Gothic"/>
      <family val="3"/>
      <charset val="129"/>
    </font>
    <font>
      <b/>
      <sz val="11"/>
      <color rgb="FF255CBA"/>
      <name val="Malgun Gothic"/>
      <family val="3"/>
      <charset val="129"/>
    </font>
    <font>
      <sz val="11"/>
      <color rgb="FF64748B"/>
      <name val="Malgun Gothic"/>
      <family val="3"/>
      <charset val="129"/>
    </font>
    <font>
      <sz val="10"/>
      <name val="Malgun Gothic"/>
      <family val="3"/>
      <charset val="129"/>
    </font>
    <font>
      <sz val="18"/>
      <color rgb="FFFFFFFF"/>
      <name val="Malgun Gothic"/>
      <family val="3"/>
      <charset val="129"/>
    </font>
    <font>
      <sz val="10"/>
      <color rgb="FF64748B"/>
      <name val="Malgun Gothic"/>
      <family val="3"/>
      <charset val="129"/>
    </font>
    <font>
      <sz val="12"/>
      <name val="Malgun Gothic"/>
      <family val="3"/>
      <charset val="129"/>
    </font>
    <font>
      <b/>
      <sz val="21"/>
      <name val="Malgun Gothic"/>
      <family val="3"/>
      <charset val="129"/>
    </font>
    <font>
      <b/>
      <sz val="21"/>
      <color rgb="FF172C43"/>
      <name val="Malgun Gothic"/>
      <family val="3"/>
      <charset val="129"/>
    </font>
    <font>
      <sz val="13"/>
      <color rgb="FF255CBA"/>
      <name val="Malgun Gothic"/>
      <family val="3"/>
      <charset val="129"/>
    </font>
    <font>
      <b/>
      <sz val="11"/>
      <color rgb="FF172C43"/>
      <name val="Malgun Gothic"/>
      <family val="3"/>
      <charset val="129"/>
    </font>
    <font>
      <b/>
      <sz val="17"/>
      <name val="Malgun Gothic"/>
      <family val="3"/>
      <charset val="129"/>
    </font>
    <font>
      <sz val="11"/>
      <name val="Carlito"/>
    </font>
    <font>
      <sz val="8"/>
      <name val="돋움"/>
      <family val="3"/>
      <charset val="129"/>
    </font>
  </fonts>
  <fills count="10">
    <fill>
      <patternFill patternType="none"/>
    </fill>
    <fill>
      <patternFill patternType="gray125"/>
    </fill>
    <fill>
      <patternFill patternType="solid">
        <fgColor rgb="FF17334A"/>
      </patternFill>
    </fill>
    <fill>
      <patternFill patternType="solid">
        <fgColor rgb="FFEDF5F2"/>
      </patternFill>
    </fill>
    <fill>
      <patternFill patternType="solid">
        <fgColor rgb="FFFFF2CC"/>
      </patternFill>
    </fill>
    <fill>
      <patternFill patternType="solid">
        <fgColor rgb="FFE5F3EC"/>
      </patternFill>
    </fill>
    <fill>
      <patternFill patternType="solid">
        <fgColor rgb="FF172C43"/>
      </patternFill>
    </fill>
    <fill>
      <patternFill patternType="solid">
        <fgColor rgb="FFF2F5F9"/>
      </patternFill>
    </fill>
    <fill>
      <patternFill patternType="solid">
        <fgColor rgb="FFEAF1FC"/>
      </patternFill>
    </fill>
    <fill>
      <patternFill patternType="solid">
        <fgColor rgb="FFFFF4D6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6" fillId="0" borderId="0"/>
  </cellStyleXfs>
  <cellXfs count="35">
    <xf numFmtId="0" fontId="0" fillId="0" borderId="0" xfId="0"/>
    <xf numFmtId="0" fontId="1" fillId="0" borderId="0" xfId="1" applyFont="1" applyAlignment="1">
      <alignment vertical="center"/>
    </xf>
    <xf numFmtId="0" fontId="2" fillId="2" borderId="0" xfId="1" applyFont="1" applyFill="1" applyAlignment="1">
      <alignment vertical="center"/>
    </xf>
    <xf numFmtId="0" fontId="1" fillId="4" borderId="0" xfId="1" applyFont="1" applyFill="1" applyAlignment="1">
      <alignment vertical="center"/>
    </xf>
    <xf numFmtId="0" fontId="1" fillId="5" borderId="0" xfId="1" applyFont="1" applyFill="1" applyAlignment="1">
      <alignment vertical="center"/>
    </xf>
    <xf numFmtId="4" fontId="1" fillId="4" borderId="0" xfId="1" applyNumberFormat="1" applyFont="1" applyFill="1" applyAlignment="1">
      <alignment vertical="center"/>
    </xf>
    <xf numFmtId="177" fontId="1" fillId="5" borderId="0" xfId="1" applyNumberFormat="1" applyFont="1" applyFill="1" applyAlignment="1">
      <alignment vertical="center"/>
    </xf>
    <xf numFmtId="178" fontId="1" fillId="5" borderId="0" xfId="1" applyNumberFormat="1" applyFont="1" applyFill="1" applyAlignment="1">
      <alignment vertical="center"/>
    </xf>
    <xf numFmtId="0" fontId="2" fillId="6" borderId="0" xfId="1" applyFont="1" applyFill="1" applyAlignment="1">
      <alignment vertical="center"/>
    </xf>
    <xf numFmtId="0" fontId="3" fillId="6" borderId="0" xfId="1" applyFont="1" applyFill="1" applyAlignment="1">
      <alignment vertical="center"/>
    </xf>
    <xf numFmtId="0" fontId="4" fillId="0" borderId="0" xfId="1" applyFont="1" applyAlignment="1">
      <alignment vertical="center"/>
    </xf>
    <xf numFmtId="0" fontId="5" fillId="3" borderId="0" xfId="1" applyFont="1" applyFill="1" applyAlignment="1">
      <alignment vertical="center"/>
    </xf>
    <xf numFmtId="0" fontId="5" fillId="0" borderId="0" xfId="1" applyFont="1" applyAlignment="1">
      <alignment vertical="center"/>
    </xf>
    <xf numFmtId="0" fontId="6" fillId="3" borderId="0" xfId="1" applyFont="1" applyFill="1" applyAlignment="1">
      <alignment vertical="center"/>
    </xf>
    <xf numFmtId="0" fontId="6" fillId="0" borderId="0" xfId="1" applyFont="1" applyAlignment="1">
      <alignment vertical="center"/>
    </xf>
    <xf numFmtId="0" fontId="1" fillId="7" borderId="0" xfId="1" applyFont="1" applyFill="1" applyAlignment="1">
      <alignment vertical="center"/>
    </xf>
    <xf numFmtId="0" fontId="5" fillId="7" borderId="0" xfId="1" applyFont="1" applyFill="1" applyAlignment="1">
      <alignment vertical="center"/>
    </xf>
    <xf numFmtId="0" fontId="7" fillId="0" borderId="0" xfId="1" applyFont="1" applyAlignment="1">
      <alignment vertical="center"/>
    </xf>
    <xf numFmtId="0" fontId="8" fillId="6" borderId="0" xfId="1" applyFont="1" applyFill="1" applyAlignment="1">
      <alignment vertical="center"/>
    </xf>
    <xf numFmtId="0" fontId="9" fillId="0" borderId="0" xfId="1" applyFont="1" applyAlignment="1">
      <alignment vertical="center"/>
    </xf>
    <xf numFmtId="0" fontId="10" fillId="0" borderId="0" xfId="1" applyFont="1" applyAlignment="1">
      <alignment vertical="center"/>
    </xf>
    <xf numFmtId="4" fontId="12" fillId="8" borderId="0" xfId="1" applyNumberFormat="1" applyFont="1" applyFill="1" applyAlignment="1">
      <alignment vertical="center"/>
    </xf>
    <xf numFmtId="177" fontId="12" fillId="8" borderId="0" xfId="1" applyNumberFormat="1" applyFont="1" applyFill="1" applyAlignment="1">
      <alignment vertical="center"/>
    </xf>
    <xf numFmtId="4" fontId="13" fillId="9" borderId="0" xfId="1" applyNumberFormat="1" applyFont="1" applyFill="1" applyAlignment="1">
      <alignment vertical="center"/>
    </xf>
    <xf numFmtId="179" fontId="13" fillId="9" borderId="0" xfId="1" applyNumberFormat="1" applyFont="1" applyFill="1" applyAlignment="1">
      <alignment vertical="center"/>
    </xf>
    <xf numFmtId="0" fontId="6" fillId="7" borderId="0" xfId="1" applyFont="1" applyFill="1" applyAlignment="1">
      <alignment vertical="center"/>
    </xf>
    <xf numFmtId="0" fontId="14" fillId="7" borderId="0" xfId="1" applyFont="1" applyFill="1" applyAlignment="1">
      <alignment vertical="center"/>
    </xf>
    <xf numFmtId="177" fontId="11" fillId="8" borderId="0" xfId="1" applyNumberFormat="1" applyFont="1" applyFill="1" applyAlignment="1">
      <alignment vertical="center"/>
    </xf>
    <xf numFmtId="4" fontId="1" fillId="0" borderId="0" xfId="1" applyNumberFormat="1" applyFont="1" applyAlignment="1">
      <alignment vertical="center"/>
    </xf>
    <xf numFmtId="3" fontId="1" fillId="0" borderId="0" xfId="1" applyNumberFormat="1" applyFont="1" applyAlignment="1">
      <alignment vertical="center"/>
    </xf>
    <xf numFmtId="4" fontId="2" fillId="2" borderId="0" xfId="1" applyNumberFormat="1" applyFont="1" applyFill="1" applyAlignment="1">
      <alignment vertical="center"/>
    </xf>
    <xf numFmtId="180" fontId="15" fillId="8" borderId="0" xfId="1" applyNumberFormat="1" applyFont="1" applyFill="1" applyAlignment="1">
      <alignment vertical="center"/>
    </xf>
    <xf numFmtId="0" fontId="2" fillId="2" borderId="0" xfId="1" applyFont="1" applyFill="1" applyAlignment="1">
      <alignment vertical="center" wrapText="1"/>
    </xf>
    <xf numFmtId="0" fontId="4" fillId="4" borderId="0" xfId="1" applyFont="1" applyFill="1" applyAlignment="1">
      <alignment vertical="center"/>
    </xf>
    <xf numFmtId="177" fontId="4" fillId="4" borderId="0" xfId="1" applyNumberFormat="1" applyFont="1" applyFill="1" applyAlignment="1">
      <alignment vertical="center"/>
    </xf>
  </cellXfs>
  <cellStyles count="2">
    <cellStyle name="Normal" xfId="1" xr:uid="{00000000-0005-0000-0000-000000000000}"/>
    <cellStyle name="표준" xfId="0" builtinId="0"/>
  </cellStyles>
  <dxfs count="37">
    <dxf>
      <font>
        <color rgb="FFA02E26"/>
      </font>
      <fill>
        <patternFill patternType="solid">
          <bgColor rgb="FFFCE4DE"/>
        </patternFill>
      </fill>
    </dxf>
    <dxf>
      <font>
        <color rgb="FFA02E26"/>
      </font>
      <fill>
        <patternFill patternType="solid">
          <bgColor rgb="FFFCE4DE"/>
        </patternFill>
      </fill>
    </dxf>
    <dxf>
      <font>
        <color rgb="FFA02E26"/>
      </font>
      <fill>
        <patternFill patternType="solid">
          <bgColor rgb="FFFCE4DE"/>
        </patternFill>
      </fill>
    </dxf>
    <dxf>
      <font>
        <color rgb="FFAA3529"/>
      </font>
      <fill>
        <patternFill patternType="solid">
          <bgColor rgb="FFFCE3DD"/>
        </patternFill>
      </fill>
    </dxf>
    <dxf>
      <font>
        <color rgb="FFA02E26"/>
      </font>
      <fill>
        <patternFill patternType="solid">
          <bgColor rgb="FFFCE4DE"/>
        </patternFill>
      </fill>
    </dxf>
    <dxf>
      <font>
        <color rgb="FFAA3529"/>
      </font>
      <fill>
        <patternFill patternType="solid">
          <bgColor rgb="FFFCE3DD"/>
        </patternFill>
      </fill>
    </dxf>
    <dxf>
      <font>
        <color rgb="FFA02E26"/>
      </font>
      <fill>
        <patternFill patternType="solid">
          <bgColor rgb="FFFCE4DE"/>
        </patternFill>
      </fill>
    </dxf>
    <dxf>
      <font>
        <color rgb="FFAA3529"/>
      </font>
      <fill>
        <patternFill patternType="solid">
          <bgColor rgb="FFFCE3DD"/>
        </patternFill>
      </fill>
    </dxf>
    <dxf>
      <font>
        <color rgb="FFA02E26"/>
      </font>
      <fill>
        <patternFill patternType="solid">
          <bgColor rgb="FFFCE4DE"/>
        </patternFill>
      </fill>
    </dxf>
    <dxf>
      <font>
        <color rgb="FFAA3529"/>
      </font>
      <fill>
        <patternFill patternType="solid">
          <bgColor rgb="FFFCE3DD"/>
        </patternFill>
      </fill>
    </dxf>
    <dxf>
      <font>
        <color rgb="FFA02E26"/>
      </font>
      <fill>
        <patternFill patternType="solid">
          <bgColor rgb="FFFCE4DE"/>
        </patternFill>
      </fill>
    </dxf>
    <dxf>
      <font>
        <color rgb="FFAA3529"/>
      </font>
      <fill>
        <patternFill patternType="solid">
          <bgColor rgb="FFFCE3DD"/>
        </patternFill>
      </fill>
    </dxf>
    <dxf>
      <font>
        <color rgb="FFA02E26"/>
      </font>
      <fill>
        <patternFill patternType="solid">
          <bgColor rgb="FFFCE4DE"/>
        </patternFill>
      </fill>
    </dxf>
    <dxf>
      <font>
        <color rgb="FFAA3529"/>
      </font>
      <fill>
        <patternFill patternType="solid">
          <bgColor rgb="FFFCE3DD"/>
        </patternFill>
      </fill>
    </dxf>
    <dxf>
      <font>
        <color rgb="FFA02E26"/>
      </font>
      <fill>
        <patternFill patternType="solid">
          <bgColor rgb="FFFCE4DE"/>
        </patternFill>
      </fill>
    </dxf>
    <dxf>
      <font>
        <color rgb="FFAA3529"/>
      </font>
      <fill>
        <patternFill patternType="solid">
          <bgColor rgb="FFFCE3DD"/>
        </patternFill>
      </fill>
    </dxf>
    <dxf>
      <font>
        <color rgb="FFA02E26"/>
      </font>
      <fill>
        <patternFill patternType="solid">
          <bgColor rgb="FFFCE4DE"/>
        </patternFill>
      </fill>
    </dxf>
    <dxf>
      <font>
        <color rgb="FFAA3529"/>
      </font>
      <fill>
        <patternFill patternType="solid">
          <bgColor rgb="FFFCE3DD"/>
        </patternFill>
      </fill>
    </dxf>
    <dxf>
      <font>
        <color rgb="FFA02E26"/>
      </font>
      <fill>
        <patternFill patternType="solid">
          <bgColor rgb="FFFCE4DE"/>
        </patternFill>
      </fill>
    </dxf>
    <dxf>
      <font>
        <color rgb="FFAA3529"/>
      </font>
      <fill>
        <patternFill patternType="solid">
          <bgColor rgb="FFFCE3DD"/>
        </patternFill>
      </fill>
    </dxf>
    <dxf>
      <font>
        <color rgb="FFA02E26"/>
      </font>
      <fill>
        <patternFill patternType="solid">
          <bgColor rgb="FFFCE4DE"/>
        </patternFill>
      </fill>
    </dxf>
    <dxf>
      <font>
        <color rgb="FFAA3529"/>
      </font>
      <fill>
        <patternFill patternType="solid">
          <bgColor rgb="FFFCE3DD"/>
        </patternFill>
      </fill>
    </dxf>
    <dxf>
      <font>
        <color rgb="FFA02E26"/>
      </font>
      <fill>
        <patternFill patternType="solid">
          <bgColor rgb="FFFCE4DE"/>
        </patternFill>
      </fill>
    </dxf>
    <dxf>
      <font>
        <color rgb="FFAA3529"/>
      </font>
      <fill>
        <patternFill patternType="solid">
          <bgColor rgb="FFFCE3DD"/>
        </patternFill>
      </fill>
    </dxf>
    <dxf>
      <font>
        <color rgb="FFA02E26"/>
      </font>
      <fill>
        <patternFill patternType="solid">
          <bgColor rgb="FFFCE4DE"/>
        </patternFill>
      </fill>
    </dxf>
    <dxf>
      <font>
        <color rgb="FFAA3529"/>
      </font>
      <fill>
        <patternFill patternType="solid">
          <bgColor rgb="FFFCE3DD"/>
        </patternFill>
      </fill>
    </dxf>
    <dxf>
      <font>
        <color rgb="FFA02E26"/>
      </font>
      <fill>
        <patternFill patternType="solid">
          <bgColor rgb="FFFCE4DE"/>
        </patternFill>
      </fill>
    </dxf>
    <dxf>
      <font>
        <color rgb="FFAA3529"/>
      </font>
      <fill>
        <patternFill patternType="solid">
          <bgColor rgb="FFFCE3DD"/>
        </patternFill>
      </fill>
    </dxf>
    <dxf>
      <font>
        <color rgb="FFA02E26"/>
      </font>
      <fill>
        <patternFill patternType="solid">
          <bgColor rgb="FFFCE4DE"/>
        </patternFill>
      </fill>
    </dxf>
    <dxf>
      <font>
        <color rgb="FFAA3529"/>
      </font>
      <fill>
        <patternFill patternType="solid">
          <bgColor rgb="FFFCE3DD"/>
        </patternFill>
      </fill>
    </dxf>
    <dxf>
      <font>
        <color rgb="FFA02E26"/>
      </font>
      <fill>
        <patternFill patternType="solid">
          <bgColor rgb="FFFCE4DE"/>
        </patternFill>
      </fill>
    </dxf>
    <dxf>
      <font>
        <color rgb="FFAA3529"/>
      </font>
      <fill>
        <patternFill patternType="solid">
          <bgColor rgb="FFFCE3DD"/>
        </patternFill>
      </fill>
    </dxf>
    <dxf>
      <font>
        <color rgb="FFA02E26"/>
      </font>
      <fill>
        <patternFill patternType="solid">
          <bgColor rgb="FFFCE4DE"/>
        </patternFill>
      </fill>
    </dxf>
    <dxf>
      <font>
        <color rgb="FFAA3529"/>
      </font>
      <fill>
        <patternFill patternType="solid">
          <bgColor rgb="FFFCE3DD"/>
        </patternFill>
      </fill>
    </dxf>
    <dxf>
      <font>
        <color rgb="FFA02E26"/>
      </font>
      <fill>
        <patternFill patternType="solid">
          <bgColor rgb="FFFCE4DE"/>
        </patternFill>
      </fill>
    </dxf>
    <dxf>
      <font>
        <color rgb="FFAA3529"/>
      </font>
      <fill>
        <patternFill patternType="solid">
          <bgColor rgb="FFFCE3DD"/>
        </patternFill>
      </fill>
    </dxf>
    <dxf>
      <font>
        <color rgb="FFA02E26"/>
      </font>
      <fill>
        <patternFill patternType="solid">
          <bgColor rgb="FFFCE4D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c:style val="2"/>
  <c:chart>
    <c:title>
      <c:tx>
        <c:rich>
          <a:bodyPr/>
          <a:lstStyle/>
          <a:p>
            <a:r>
              <a:t>목표 기여율별 필요한 판매가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필요 판매가 (원)</c:v>
          </c:tx>
          <c:marker>
            <c:symbol val="none"/>
          </c:marker>
          <c:cat>
            <c:numRef>
              <c:f>목표판매가!$D$5:$D$11</c:f>
              <c:numCache>
                <c:formatCode>General</c:formatCode>
                <c:ptCount val="7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</c:numCache>
            </c:numRef>
          </c:cat>
          <c:val>
            <c:numRef>
              <c:f>목표판매가!$E$5:$E$11</c:f>
              <c:numCache>
                <c:formatCode>#,##0</c:formatCode>
                <c:ptCount val="7"/>
                <c:pt idx="0">
                  <c:v>20787</c:v>
                </c:pt>
                <c:pt idx="1">
                  <c:v>22024</c:v>
                </c:pt>
                <c:pt idx="2">
                  <c:v>23418</c:v>
                </c:pt>
                <c:pt idx="3">
                  <c:v>25000</c:v>
                </c:pt>
                <c:pt idx="4">
                  <c:v>26812</c:v>
                </c:pt>
                <c:pt idx="5">
                  <c:v>28907</c:v>
                </c:pt>
                <c:pt idx="6">
                  <c:v>31356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ED9-4DB6-8796-C0592B93A5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#,##0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c:style val="2"/>
  <c:chart>
    <c:title>
      <c:tx>
        <c:rich>
          <a:bodyPr/>
          <a:lstStyle/>
          <a:p>
            <a:r>
              <a:t>주문 수에 따른 행사 잔여금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행사비 차감 후 (원)</c:v>
          </c:tx>
          <c:marker>
            <c:symbol val="none"/>
          </c:marker>
          <c:cat>
            <c:numRef>
              <c:f>행사손익분기!$D$5:$D$10</c:f>
              <c:numCache>
                <c:formatCode>General</c:formatCode>
                <c:ptCount val="6"/>
                <c:pt idx="0">
                  <c:v>25</c:v>
                </c:pt>
                <c:pt idx="1">
                  <c:v>50</c:v>
                </c:pt>
                <c:pt idx="2">
                  <c:v>75</c:v>
                </c:pt>
                <c:pt idx="3">
                  <c:v>100</c:v>
                </c:pt>
                <c:pt idx="4">
                  <c:v>125</c:v>
                </c:pt>
                <c:pt idx="5">
                  <c:v>150</c:v>
                </c:pt>
              </c:numCache>
            </c:numRef>
          </c:cat>
          <c:val>
            <c:numRef>
              <c:f>행사손익분기!$E$5:$E$10</c:f>
              <c:numCache>
                <c:formatCode>#,##0</c:formatCode>
                <c:ptCount val="6"/>
                <c:pt idx="0">
                  <c:v>-28000</c:v>
                </c:pt>
                <c:pt idx="1">
                  <c:v>144000</c:v>
                </c:pt>
                <c:pt idx="2">
                  <c:v>316000</c:v>
                </c:pt>
                <c:pt idx="3">
                  <c:v>488000</c:v>
                </c:pt>
                <c:pt idx="4">
                  <c:v>660000</c:v>
                </c:pt>
                <c:pt idx="5">
                  <c:v>832000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FAC-4866-8B9E-12FD9E8123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#,##0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13</xdr:row>
      <xdr:rowOff>0</xdr:rowOff>
    </xdr:from>
    <xdr:to>
      <xdr:col>8</xdr:col>
      <xdr:colOff>0</xdr:colOff>
      <xdr:row>28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1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12</xdr:row>
      <xdr:rowOff>0</xdr:rowOff>
    </xdr:from>
    <xdr:to>
      <xdr:col>8</xdr:col>
      <xdr:colOff>0</xdr:colOff>
      <xdr:row>27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1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roductComparison" displayName="ProductComparison" ref="A9:L19" totalsRowShown="0">
  <tableColumns count="12">
    <tableColumn id="1" xr3:uid="{00000000-0010-0000-0000-000001000000}" name="상품"/>
    <tableColumn id="2" xr3:uid="{00000000-0010-0000-0000-000002000000}" name="판매가 원"/>
    <tableColumn id="3" xr3:uid="{00000000-0010-0000-0000-000003000000}" name="원가 원"/>
    <tableColumn id="4" xr3:uid="{00000000-0010-0000-0000-000004000000}" name="수수료 %"/>
    <tableColumn id="5" xr3:uid="{00000000-0010-0000-0000-000005000000}" name="배송포장 원"/>
    <tableColumn id="6" xr3:uid="{00000000-0010-0000-0000-000006000000}" name="주문 건"/>
    <tableColumn id="7" xr3:uid="{00000000-0010-0000-0000-000007000000}" name="광고비 원"/>
    <tableColumn id="8" xr3:uid="{00000000-0010-0000-0000-000008000000}" name="주문 기여금 원"/>
    <tableColumn id="9" xr3:uid="{00000000-0010-0000-0000-000009000000}" name="기여율 %"/>
    <tableColumn id="10" xr3:uid="{00000000-0010-0000-0000-00000A000000}" name="매출 원"/>
    <tableColumn id="11" xr3:uid="{00000000-0010-0000-0000-00000B000000}" name="광고 전 합계 원"/>
    <tableColumn id="12" xr3:uid="{00000000-0010-0000-0000-00000C000000}" name="광고 후 합계 원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216B60"/>
  </sheetPr>
  <dimension ref="A1:F30"/>
  <sheetViews>
    <sheetView showGridLines="0" tabSelected="1" workbookViewId="0"/>
  </sheetViews>
  <sheetFormatPr defaultRowHeight="13.8"/>
  <cols>
    <col min="1" max="1" width="5" customWidth="1"/>
    <col min="2" max="2" width="32" customWidth="1"/>
    <col min="3" max="3" width="44" customWidth="1"/>
    <col min="4" max="4" width="5" customWidth="1"/>
    <col min="5" max="6" width="26" customWidth="1"/>
  </cols>
  <sheetData>
    <row r="1" spans="1:6" ht="28.05" customHeight="1">
      <c r="A1" s="1"/>
      <c r="B1" s="1"/>
      <c r="C1" s="1"/>
      <c r="D1" s="1"/>
      <c r="E1" s="1"/>
      <c r="F1" s="1"/>
    </row>
    <row r="2" spans="1:6" ht="37.950000000000003" customHeight="1">
      <c r="A2" s="1"/>
      <c r="B2" s="9" t="s">
        <v>0</v>
      </c>
      <c r="C2" s="8"/>
      <c r="D2" s="8"/>
      <c r="E2" s="8"/>
      <c r="F2" s="8"/>
    </row>
    <row r="3" spans="1:6" ht="37.950000000000003" customHeight="1">
      <c r="A3" s="1"/>
      <c r="B3" s="8" t="s">
        <v>1</v>
      </c>
      <c r="C3" s="8"/>
      <c r="D3" s="8"/>
      <c r="E3" s="8"/>
      <c r="F3" s="8"/>
    </row>
    <row r="4" spans="1:6" ht="28.05" customHeight="1">
      <c r="A4" s="1"/>
      <c r="B4" s="1"/>
      <c r="C4" s="1"/>
      <c r="D4" s="1"/>
      <c r="E4" s="1"/>
      <c r="F4" s="1"/>
    </row>
    <row r="5" spans="1:6" ht="28.05" customHeight="1">
      <c r="A5" s="1"/>
      <c r="B5" s="2" t="s">
        <v>2</v>
      </c>
      <c r="C5" s="2" t="s">
        <v>3</v>
      </c>
      <c r="D5" s="1"/>
      <c r="E5" s="2" t="s">
        <v>4</v>
      </c>
      <c r="F5" s="2"/>
    </row>
    <row r="6" spans="1:6" ht="33" customHeight="1">
      <c r="A6" s="1"/>
      <c r="B6" s="11" t="s">
        <v>5</v>
      </c>
      <c r="C6" s="13" t="s">
        <v>6</v>
      </c>
      <c r="D6" s="1"/>
      <c r="E6" s="1"/>
      <c r="F6" s="1"/>
    </row>
    <row r="7" spans="1:6" ht="33" customHeight="1">
      <c r="A7" s="1"/>
      <c r="B7" s="12" t="s">
        <v>7</v>
      </c>
      <c r="C7" s="14" t="s">
        <v>8</v>
      </c>
      <c r="D7" s="1"/>
      <c r="E7" s="16" t="s">
        <v>9</v>
      </c>
      <c r="F7" s="15"/>
    </row>
    <row r="8" spans="1:6" ht="33" customHeight="1">
      <c r="A8" s="1"/>
      <c r="B8" s="11" t="s">
        <v>10</v>
      </c>
      <c r="C8" s="13" t="s">
        <v>11</v>
      </c>
      <c r="D8" s="1"/>
      <c r="E8" s="16"/>
      <c r="F8" s="15"/>
    </row>
    <row r="9" spans="1:6" ht="33" customHeight="1">
      <c r="A9" s="1"/>
      <c r="B9" s="12" t="s">
        <v>12</v>
      </c>
      <c r="C9" s="14" t="s">
        <v>13</v>
      </c>
      <c r="D9" s="1"/>
      <c r="E9" s="16" t="s">
        <v>14</v>
      </c>
      <c r="F9" s="15"/>
    </row>
    <row r="10" spans="1:6" ht="33" customHeight="1">
      <c r="A10" s="1"/>
      <c r="B10" s="11" t="s">
        <v>15</v>
      </c>
      <c r="C10" s="13" t="s">
        <v>16</v>
      </c>
      <c r="D10" s="1"/>
      <c r="E10" s="16"/>
      <c r="F10" s="15"/>
    </row>
    <row r="11" spans="1:6" ht="33" customHeight="1">
      <c r="A11" s="1"/>
      <c r="B11" s="12" t="s">
        <v>17</v>
      </c>
      <c r="C11" s="14" t="s">
        <v>18</v>
      </c>
      <c r="D11" s="1"/>
      <c r="E11" s="16" t="s">
        <v>19</v>
      </c>
      <c r="F11" s="15"/>
    </row>
    <row r="12" spans="1:6" ht="33" customHeight="1">
      <c r="A12" s="1"/>
      <c r="B12" s="11" t="s">
        <v>20</v>
      </c>
      <c r="C12" s="13" t="s">
        <v>21</v>
      </c>
      <c r="D12" s="1"/>
      <c r="E12" s="1"/>
      <c r="F12" s="1"/>
    </row>
    <row r="13" spans="1:6" ht="33" customHeight="1">
      <c r="A13" s="1"/>
      <c r="B13" s="12" t="s">
        <v>22</v>
      </c>
      <c r="C13" s="14" t="s">
        <v>23</v>
      </c>
      <c r="D13" s="1"/>
      <c r="E13" s="1"/>
      <c r="F13" s="1"/>
    </row>
    <row r="14" spans="1:6" ht="33" customHeight="1">
      <c r="A14" s="1"/>
      <c r="B14" s="11" t="s">
        <v>24</v>
      </c>
      <c r="C14" s="13" t="s">
        <v>25</v>
      </c>
      <c r="D14" s="1"/>
      <c r="E14" s="3" t="s">
        <v>26</v>
      </c>
      <c r="F14" s="3"/>
    </row>
    <row r="15" spans="1:6" ht="33" customHeight="1">
      <c r="A15" s="1"/>
      <c r="B15" s="12" t="s">
        <v>27</v>
      </c>
      <c r="C15" s="14" t="s">
        <v>28</v>
      </c>
      <c r="D15" s="1"/>
      <c r="E15" s="1"/>
      <c r="F15" s="1"/>
    </row>
    <row r="16" spans="1:6" ht="33" customHeight="1">
      <c r="A16" s="1"/>
      <c r="B16" s="11" t="s">
        <v>29</v>
      </c>
      <c r="C16" s="13" t="s">
        <v>30</v>
      </c>
      <c r="D16" s="1"/>
      <c r="E16" s="4" t="s">
        <v>31</v>
      </c>
      <c r="F16" s="4"/>
    </row>
    <row r="17" spans="1:6" ht="33" customHeight="1">
      <c r="A17" s="1"/>
      <c r="B17" s="12" t="s">
        <v>32</v>
      </c>
      <c r="C17" s="14" t="s">
        <v>33</v>
      </c>
      <c r="D17" s="1"/>
      <c r="E17" s="1"/>
      <c r="F17" s="1"/>
    </row>
    <row r="18" spans="1:6" ht="33" customHeight="1">
      <c r="A18" s="1"/>
      <c r="B18" s="11" t="s">
        <v>34</v>
      </c>
      <c r="C18" s="13" t="s">
        <v>35</v>
      </c>
      <c r="D18" s="1"/>
      <c r="E18" s="1"/>
      <c r="F18" s="1"/>
    </row>
    <row r="19" spans="1:6" ht="33" customHeight="1">
      <c r="A19" s="1"/>
      <c r="B19" s="12" t="s">
        <v>36</v>
      </c>
      <c r="C19" s="14" t="s">
        <v>37</v>
      </c>
      <c r="D19" s="1"/>
      <c r="E19" s="17" t="s">
        <v>38</v>
      </c>
      <c r="F19" s="17"/>
    </row>
    <row r="20" spans="1:6" ht="33" customHeight="1">
      <c r="A20" s="1"/>
      <c r="B20" s="11" t="s">
        <v>39</v>
      </c>
      <c r="C20" s="13" t="s">
        <v>40</v>
      </c>
      <c r="D20" s="1"/>
      <c r="E20" s="17" t="s">
        <v>41</v>
      </c>
      <c r="F20" s="17"/>
    </row>
    <row r="21" spans="1:6" ht="33" customHeight="1">
      <c r="A21" s="1"/>
      <c r="B21" s="12" t="s">
        <v>42</v>
      </c>
      <c r="C21" s="14" t="s">
        <v>43</v>
      </c>
      <c r="D21" s="1"/>
      <c r="E21" s="17" t="s">
        <v>44</v>
      </c>
      <c r="F21" s="17"/>
    </row>
    <row r="22" spans="1:6" ht="33" customHeight="1">
      <c r="A22" s="1"/>
      <c r="B22" s="11" t="s">
        <v>45</v>
      </c>
      <c r="C22" s="13" t="s">
        <v>46</v>
      </c>
      <c r="D22" s="1"/>
      <c r="E22" s="17" t="s">
        <v>47</v>
      </c>
      <c r="F22" s="17"/>
    </row>
    <row r="23" spans="1:6" ht="28.05" customHeight="1">
      <c r="A23" s="1"/>
      <c r="B23" s="1"/>
      <c r="C23" s="1"/>
      <c r="D23" s="1"/>
      <c r="E23" s="1"/>
      <c r="F23" s="1"/>
    </row>
    <row r="24" spans="1:6" ht="28.05" customHeight="1">
      <c r="A24" s="1"/>
      <c r="B24" s="1"/>
      <c r="C24" s="1"/>
      <c r="D24" s="1"/>
      <c r="E24" s="1"/>
      <c r="F24" s="1"/>
    </row>
    <row r="25" spans="1:6" ht="28.05" customHeight="1">
      <c r="A25" s="1"/>
      <c r="B25" s="1"/>
      <c r="C25" s="1"/>
      <c r="D25" s="1"/>
      <c r="E25" s="1"/>
      <c r="F25" s="1"/>
    </row>
    <row r="26" spans="1:6" ht="28.05" customHeight="1">
      <c r="A26" s="1"/>
      <c r="B26" s="1"/>
      <c r="C26" s="1"/>
      <c r="D26" s="1"/>
      <c r="E26" s="1"/>
      <c r="F26" s="1"/>
    </row>
    <row r="27" spans="1:6" ht="28.05" customHeight="1">
      <c r="A27" s="1"/>
      <c r="B27" s="1"/>
      <c r="C27" s="1"/>
      <c r="D27" s="1"/>
      <c r="E27" s="1"/>
      <c r="F27" s="1"/>
    </row>
    <row r="28" spans="1:6" ht="28.05" customHeight="1">
      <c r="A28" s="1"/>
      <c r="B28" s="1"/>
      <c r="C28" s="1"/>
      <c r="D28" s="1"/>
      <c r="E28" s="1"/>
      <c r="F28" s="1"/>
    </row>
    <row r="29" spans="1:6" ht="28.05" customHeight="1">
      <c r="A29" s="1"/>
      <c r="B29" s="1"/>
      <c r="C29" s="1"/>
      <c r="D29" s="1"/>
      <c r="E29" s="1"/>
      <c r="F29" s="1"/>
    </row>
    <row r="30" spans="1:6" ht="28.05" customHeight="1">
      <c r="A30" s="1"/>
      <c r="B30" s="1"/>
      <c r="C30" s="1"/>
      <c r="D30" s="1"/>
      <c r="E30" s="1"/>
      <c r="F30" s="1"/>
    </row>
  </sheetData>
  <phoneticPr fontId="17" type="noConversion"/>
  <hyperlinks>
    <hyperlink ref="B6" location="'001'!A1" display="001  마진과 주문 손익 →" xr:uid="{00000000-0004-0000-0000-000000000000}"/>
    <hyperlink ref="B7" location="'002'!A1" display="002  할인 행사 손익 →" xr:uid="{00000000-0004-0000-0000-000001000000}"/>
    <hyperlink ref="B8" location="'003'!A1" display="003  ROAS와 광고비 →" xr:uid="{00000000-0004-0000-0000-000002000000}"/>
    <hyperlink ref="B9" location="'004'!A1" display="004  무료배송 기준 →" xr:uid="{00000000-0004-0000-0000-000003000000}"/>
    <hyperlink ref="B10" location="'005'!A1" display="005  정산 대사 →" xr:uid="{00000000-0004-0000-0000-000004000000}"/>
    <hyperlink ref="B11" location="'006'!A1" display="006  묶음 판매 →" xr:uid="{00000000-0004-0000-0000-000005000000}"/>
    <hyperlink ref="B12" location="'007'!A1" display="007  중복 할인 →" xr:uid="{00000000-0004-0000-0000-000006000000}"/>
    <hyperlink ref="B13" location="'008'!A1" display="008  현금 잔액 →" xr:uid="{00000000-0004-0000-0000-000007000000}"/>
    <hyperlink ref="B14" location="'009'!A1" display="009  반품 비용 →" xr:uid="{00000000-0004-0000-0000-000008000000}"/>
    <hyperlink ref="B15" location="'010'!A1" display="010  적립금 사용 →" xr:uid="{00000000-0004-0000-0000-000009000000}"/>
    <hyperlink ref="B16" location="'012'!A1" display="012  전환율 시나리오 →" xr:uid="{00000000-0004-0000-0000-00000A000000}"/>
    <hyperlink ref="B17" location="'013'!A1" display="013  허용 CPC →" xr:uid="{00000000-0004-0000-0000-00000B000000}"/>
    <hyperlink ref="B18" location="'015'!A1" display="015  재고 소진 →" xr:uid="{00000000-0004-0000-0000-00000C000000}"/>
    <hyperlink ref="B19" location="'016'!A1" display="016  발주점 →" xr:uid="{00000000-0004-0000-0000-00000D000000}"/>
    <hyperlink ref="B20" location="'017'!A1" display="017  재고 처분 →" xr:uid="{00000000-0004-0000-0000-00000E000000}"/>
    <hyperlink ref="B21" location="'018'!A1" display="018  상품 기여금 →" xr:uid="{00000000-0004-0000-0000-00000F000000}"/>
    <hyperlink ref="B22" location="'019'!A1" display="019  가격 인상 →" xr:uid="{00000000-0004-0000-0000-000010000000}"/>
    <hyperlink ref="E7" location="'목표판매가'!A1" display="목표판매가 열기 →" xr:uid="{00000000-0004-0000-0000-000011000000}"/>
    <hyperlink ref="E9" location="'행사손익분기'!A1" display="행사손익분기 열기 →" xr:uid="{00000000-0004-0000-0000-000012000000}"/>
    <hyperlink ref="E11" location="'상품비교'!A1" display="상품비교 열기 →" xr:uid="{00000000-0004-0000-0000-00001300000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16B60"/>
  </sheetPr>
  <dimension ref="A1:D27"/>
  <sheetViews>
    <sheetView showGridLines="0" workbookViewId="0"/>
  </sheetViews>
  <sheetFormatPr defaultRowHeight="13.8"/>
  <cols>
    <col min="1" max="1" width="43" customWidth="1"/>
    <col min="2" max="2" width="26" customWidth="1"/>
    <col min="3" max="3" width="5" customWidth="1"/>
    <col min="4" max="4" width="49" customWidth="1"/>
  </cols>
  <sheetData>
    <row r="1" spans="1:4" ht="28.95" customHeight="1">
      <c r="A1" s="1"/>
      <c r="B1" s="1"/>
      <c r="C1" s="1"/>
      <c r="D1" s="1"/>
    </row>
    <row r="2" spans="1:4" ht="46.05" customHeight="1">
      <c r="A2" s="18" t="s">
        <v>48</v>
      </c>
      <c r="B2" s="8"/>
      <c r="C2" s="1"/>
      <c r="D2" s="19" t="s">
        <v>49</v>
      </c>
    </row>
    <row r="3" spans="1:4" ht="28.95" customHeight="1">
      <c r="A3" s="1"/>
      <c r="B3" s="1"/>
      <c r="C3" s="1"/>
      <c r="D3" s="1"/>
    </row>
    <row r="4" spans="1:4" ht="28.95" customHeight="1">
      <c r="A4" s="2" t="s">
        <v>50</v>
      </c>
      <c r="B4" s="2" t="s">
        <v>51</v>
      </c>
      <c r="C4" s="1"/>
      <c r="D4" s="26" t="s">
        <v>52</v>
      </c>
    </row>
    <row r="5" spans="1:4" ht="45" customHeight="1">
      <c r="A5" s="20" t="s">
        <v>53</v>
      </c>
      <c r="B5" s="21">
        <f>IFERROR(IF(AND(COUNT(B14:B17)=4,MIN(B14:B17)&gt;=0,B16&lt;=100,B14&gt;0),(B14-B15)/B14*100,"입력 확인"),"입력 확인")</f>
        <v>50</v>
      </c>
      <c r="C5" s="1"/>
      <c r="D5" s="25" t="s">
        <v>54</v>
      </c>
    </row>
    <row r="6" spans="1:4" ht="45" customHeight="1">
      <c r="A6" s="20" t="s">
        <v>55</v>
      </c>
      <c r="B6" s="22">
        <f>IFERROR(IF(AND(COUNT(B14:B17)=4,MIN(B14:B17)&gt;=0,B16&lt;=100,B14&gt;0),B14-B15-B14*B16/100-B17,"입력 확인"),"입력 확인")</f>
        <v>9700</v>
      </c>
      <c r="C6" s="1"/>
      <c r="D6" s="25" t="s">
        <v>56</v>
      </c>
    </row>
    <row r="7" spans="1:4" ht="28.95" customHeight="1">
      <c r="A7" s="1"/>
      <c r="B7" s="1"/>
      <c r="C7" s="1"/>
      <c r="D7" s="25" t="s">
        <v>57</v>
      </c>
    </row>
    <row r="8" spans="1:4" ht="28.95" customHeight="1">
      <c r="A8" s="1"/>
      <c r="B8" s="1"/>
      <c r="C8" s="1"/>
      <c r="D8" s="25" t="s">
        <v>58</v>
      </c>
    </row>
    <row r="9" spans="1:4" ht="28.95" customHeight="1">
      <c r="A9" s="1"/>
      <c r="B9" s="1"/>
      <c r="C9" s="1"/>
      <c r="D9" s="1"/>
    </row>
    <row r="10" spans="1:4" ht="28.95" customHeight="1">
      <c r="A10" s="1"/>
      <c r="B10" s="1"/>
      <c r="C10" s="1"/>
      <c r="D10" s="1"/>
    </row>
    <row r="11" spans="1:4" ht="28.95" customHeight="1">
      <c r="A11" s="1"/>
      <c r="B11" s="1"/>
      <c r="C11" s="1"/>
      <c r="D11" s="19" t="s">
        <v>59</v>
      </c>
    </row>
    <row r="12" spans="1:4" ht="28.95" customHeight="1">
      <c r="A12" s="1"/>
      <c r="B12" s="1"/>
      <c r="C12" s="1"/>
      <c r="D12" s="19" t="s">
        <v>60</v>
      </c>
    </row>
    <row r="13" spans="1:4" ht="28.95" customHeight="1">
      <c r="A13" s="2" t="s">
        <v>61</v>
      </c>
      <c r="B13" s="2" t="s">
        <v>62</v>
      </c>
      <c r="C13" s="1"/>
      <c r="D13" s="19" t="s">
        <v>63</v>
      </c>
    </row>
    <row r="14" spans="1:4" ht="37.049999999999997" customHeight="1">
      <c r="A14" s="1" t="s">
        <v>64</v>
      </c>
      <c r="B14" s="23">
        <v>30000</v>
      </c>
      <c r="C14" s="1"/>
      <c r="D14" s="19"/>
    </row>
    <row r="15" spans="1:4" ht="37.049999999999997" customHeight="1">
      <c r="A15" s="1" t="s">
        <v>65</v>
      </c>
      <c r="B15" s="23">
        <v>15000</v>
      </c>
      <c r="C15" s="1"/>
      <c r="D15" s="19"/>
    </row>
    <row r="16" spans="1:4" ht="37.049999999999997" customHeight="1">
      <c r="A16" s="1" t="s">
        <v>66</v>
      </c>
      <c r="B16" s="24">
        <v>6</v>
      </c>
      <c r="C16" s="1"/>
      <c r="D16" s="19"/>
    </row>
    <row r="17" spans="1:4" ht="37.049999999999997" customHeight="1">
      <c r="A17" s="1" t="s">
        <v>67</v>
      </c>
      <c r="B17" s="23">
        <v>3500</v>
      </c>
      <c r="C17" s="1"/>
      <c r="D17" s="19"/>
    </row>
    <row r="18" spans="1:4" ht="28.95" customHeight="1">
      <c r="A18" s="1"/>
      <c r="B18" s="1"/>
      <c r="C18" s="1"/>
      <c r="D18" s="19"/>
    </row>
    <row r="19" spans="1:4" ht="28.95" customHeight="1">
      <c r="A19" s="1"/>
      <c r="B19" s="1"/>
      <c r="C19" s="1"/>
      <c r="D19" s="19"/>
    </row>
    <row r="20" spans="1:4" ht="28.95" customHeight="1">
      <c r="A20" s="1"/>
      <c r="B20" s="1"/>
      <c r="C20" s="1"/>
      <c r="D20" s="17" t="s">
        <v>68</v>
      </c>
    </row>
    <row r="21" spans="1:4" ht="28.95" customHeight="1">
      <c r="A21" s="1"/>
      <c r="B21" s="1"/>
      <c r="C21" s="1"/>
      <c r="D21" s="1"/>
    </row>
    <row r="22" spans="1:4" ht="28.95" customHeight="1">
      <c r="A22" s="1"/>
      <c r="B22" s="1"/>
      <c r="C22" s="1"/>
      <c r="D22" s="1"/>
    </row>
    <row r="23" spans="1:4" ht="28.95" customHeight="1">
      <c r="A23" s="1"/>
      <c r="B23" s="1"/>
      <c r="C23" s="1"/>
      <c r="D23" s="10" t="s">
        <v>69</v>
      </c>
    </row>
    <row r="24" spans="1:4" ht="28.95" customHeight="1">
      <c r="A24" s="1"/>
      <c r="B24" s="1"/>
      <c r="C24" s="1"/>
      <c r="D24" s="1"/>
    </row>
    <row r="25" spans="1:4" ht="28.95" customHeight="1">
      <c r="A25" s="1"/>
      <c r="B25" s="1"/>
      <c r="C25" s="1"/>
      <c r="D25" s="1"/>
    </row>
    <row r="26" spans="1:4" ht="25.95" customHeight="1">
      <c r="A26" s="1"/>
      <c r="B26" s="1"/>
      <c r="C26" s="1"/>
      <c r="D26" s="1"/>
    </row>
    <row r="27" spans="1:4" ht="25.95" customHeight="1">
      <c r="A27" s="1"/>
      <c r="B27" s="1"/>
      <c r="C27" s="1"/>
      <c r="D27" s="1"/>
    </row>
  </sheetData>
  <phoneticPr fontId="17" type="noConversion"/>
  <conditionalFormatting sqref="B5:B6">
    <cfRule type="expression" dxfId="36" priority="1">
      <formula>AND(ISNUMBER(B5),B5&lt;0)</formula>
    </cfRule>
    <cfRule type="expression" dxfId="35" priority="2">
      <formula>ISTEXT(B5)</formula>
    </cfRule>
  </conditionalFormatting>
  <dataValidations count="2">
    <dataValidation type="decimal" sqref="B17 B14:B15" xr:uid="{00000000-0002-0000-0100-000000000000}">
      <formula1>0</formula1>
      <formula2>1000000000000</formula2>
    </dataValidation>
    <dataValidation type="decimal" sqref="B16" xr:uid="{00000000-0002-0000-0100-000002000000}">
      <formula1>0</formula1>
      <formula2>100</formula2>
    </dataValidation>
  </dataValidations>
  <hyperlinks>
    <hyperlink ref="D23" location="'시작'!A1" display="← 계산 스튜디오로 돌아가기" xr:uid="{00000000-0004-0000-0100-000000000000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16B60"/>
  </sheetPr>
  <dimension ref="A1:D27"/>
  <sheetViews>
    <sheetView showGridLines="0" workbookViewId="0"/>
  </sheetViews>
  <sheetFormatPr defaultRowHeight="13.8"/>
  <cols>
    <col min="1" max="1" width="43" customWidth="1"/>
    <col min="2" max="2" width="26" customWidth="1"/>
    <col min="3" max="3" width="5" customWidth="1"/>
    <col min="4" max="4" width="49" customWidth="1"/>
  </cols>
  <sheetData>
    <row r="1" spans="1:4" ht="28.95" customHeight="1">
      <c r="A1" s="1"/>
      <c r="B1" s="1"/>
      <c r="C1" s="1"/>
      <c r="D1" s="1"/>
    </row>
    <row r="2" spans="1:4" ht="46.05" customHeight="1">
      <c r="A2" s="18" t="s">
        <v>70</v>
      </c>
      <c r="B2" s="8"/>
      <c r="C2" s="1"/>
      <c r="D2" s="19" t="s">
        <v>49</v>
      </c>
    </row>
    <row r="3" spans="1:4" ht="28.95" customHeight="1">
      <c r="A3" s="1"/>
      <c r="B3" s="1"/>
      <c r="C3" s="1"/>
      <c r="D3" s="1"/>
    </row>
    <row r="4" spans="1:4" ht="28.95" customHeight="1">
      <c r="A4" s="2" t="s">
        <v>50</v>
      </c>
      <c r="B4" s="2" t="s">
        <v>51</v>
      </c>
      <c r="C4" s="1"/>
      <c r="D4" s="26" t="s">
        <v>52</v>
      </c>
    </row>
    <row r="5" spans="1:4" ht="45" customHeight="1">
      <c r="A5" s="20" t="s">
        <v>71</v>
      </c>
      <c r="B5" s="22">
        <f>IFERROR(IF(AND(COUNT(B14:B19)=6,MIN(B14:B19)&gt;=0,B16&lt;=100,B18&lt;=100,MOD(B19,1)=0,B14&gt;0,B18&lt;100,B14-B15-B14*B16/100-B17&gt;0,B14*(1-B18/100)*(1-B16/100)-B15-B17&gt;0),B14-B15-B14*B16/100-B17,"입력 확인"),"입력 확인")</f>
        <v>9700</v>
      </c>
      <c r="C5" s="1"/>
      <c r="D5" s="25" t="s">
        <v>54</v>
      </c>
    </row>
    <row r="6" spans="1:4" ht="45" customHeight="1">
      <c r="A6" s="20" t="s">
        <v>72</v>
      </c>
      <c r="B6" s="22">
        <f>IFERROR(IF(AND(COUNT(B14:B19)=6,MIN(B14:B19)&gt;=0,B16&lt;=100,B18&lt;=100,MOD(B19,1)=0,B14&gt;0,B18&lt;100,B14-B15-B14*B16/100-B17&gt;0,B14*(1-B18/100)*(1-B16/100)-B15-B17&gt;0),B14*(1-B18/100)*(1-B16/100)-B15-B17,"입력 확인"),"입력 확인")</f>
        <v>6880</v>
      </c>
      <c r="C6" s="1"/>
      <c r="D6" s="25" t="s">
        <v>56</v>
      </c>
    </row>
    <row r="7" spans="1:4" ht="45" customHeight="1">
      <c r="A7" s="20" t="s">
        <v>73</v>
      </c>
      <c r="B7" s="21">
        <f>IFERROR(IF(AND(COUNT(B14:B19)=6,MIN(B14:B19)&gt;=0,B16&lt;=100,B18&lt;=100,MOD(B19,1)=0,B14&gt;0,B18&lt;100,B14-B15-B14*B16/100-B17&gt;0,B14*(1-B18/100)*(1-B16/100)-B15-B17&gt;0),ROUNDUP(ROUND(B5*B19/B6,8),0),"입력 확인"),"입력 확인")</f>
        <v>141</v>
      </c>
      <c r="C7" s="1"/>
      <c r="D7" s="25" t="s">
        <v>57</v>
      </c>
    </row>
    <row r="8" spans="1:4" ht="28.95" customHeight="1">
      <c r="A8" s="1"/>
      <c r="B8" s="1"/>
      <c r="C8" s="1"/>
      <c r="D8" s="25" t="s">
        <v>58</v>
      </c>
    </row>
    <row r="9" spans="1:4" ht="28.95" customHeight="1">
      <c r="A9" s="1"/>
      <c r="B9" s="1"/>
      <c r="C9" s="1"/>
      <c r="D9" s="1"/>
    </row>
    <row r="10" spans="1:4" ht="28.95" customHeight="1">
      <c r="A10" s="1"/>
      <c r="B10" s="1"/>
      <c r="C10" s="1"/>
      <c r="D10" s="1"/>
    </row>
    <row r="11" spans="1:4" ht="28.95" customHeight="1">
      <c r="A11" s="1"/>
      <c r="B11" s="1"/>
      <c r="C11" s="1"/>
      <c r="D11" s="19" t="s">
        <v>74</v>
      </c>
    </row>
    <row r="12" spans="1:4" ht="28.95" customHeight="1">
      <c r="A12" s="1"/>
      <c r="B12" s="1"/>
      <c r="C12" s="1"/>
      <c r="D12" s="19" t="s">
        <v>75</v>
      </c>
    </row>
    <row r="13" spans="1:4" ht="28.95" customHeight="1">
      <c r="A13" s="2" t="s">
        <v>61</v>
      </c>
      <c r="B13" s="2" t="s">
        <v>62</v>
      </c>
      <c r="C13" s="1"/>
      <c r="D13" s="19" t="s">
        <v>76</v>
      </c>
    </row>
    <row r="14" spans="1:4" ht="37.049999999999997" customHeight="1">
      <c r="A14" s="1" t="s">
        <v>64</v>
      </c>
      <c r="B14" s="23">
        <v>30000</v>
      </c>
      <c r="C14" s="1"/>
      <c r="D14" s="19" t="s">
        <v>77</v>
      </c>
    </row>
    <row r="15" spans="1:4" ht="37.049999999999997" customHeight="1">
      <c r="A15" s="1" t="s">
        <v>65</v>
      </c>
      <c r="B15" s="23">
        <v>15000</v>
      </c>
      <c r="C15" s="1"/>
      <c r="D15" s="19"/>
    </row>
    <row r="16" spans="1:4" ht="37.049999999999997" customHeight="1">
      <c r="A16" s="1" t="s">
        <v>66</v>
      </c>
      <c r="B16" s="24">
        <v>6</v>
      </c>
      <c r="C16" s="1"/>
      <c r="D16" s="19"/>
    </row>
    <row r="17" spans="1:4" ht="37.049999999999997" customHeight="1">
      <c r="A17" s="1" t="s">
        <v>67</v>
      </c>
      <c r="B17" s="23">
        <v>3500</v>
      </c>
      <c r="C17" s="1"/>
      <c r="D17" s="19"/>
    </row>
    <row r="18" spans="1:4" ht="37.049999999999997" customHeight="1">
      <c r="A18" s="1" t="s">
        <v>78</v>
      </c>
      <c r="B18" s="24">
        <v>10</v>
      </c>
      <c r="C18" s="1"/>
      <c r="D18" s="19"/>
    </row>
    <row r="19" spans="1:4" ht="37.049999999999997" customHeight="1">
      <c r="A19" s="1" t="s">
        <v>79</v>
      </c>
      <c r="B19" s="23">
        <v>100</v>
      </c>
      <c r="C19" s="1"/>
      <c r="D19" s="19"/>
    </row>
    <row r="20" spans="1:4" ht="28.95" customHeight="1">
      <c r="A20" s="1"/>
      <c r="B20" s="1"/>
      <c r="C20" s="1"/>
      <c r="D20" s="17" t="s">
        <v>68</v>
      </c>
    </row>
    <row r="21" spans="1:4" ht="28.95" customHeight="1">
      <c r="A21" s="1"/>
      <c r="B21" s="1"/>
      <c r="C21" s="1"/>
      <c r="D21" s="1"/>
    </row>
    <row r="22" spans="1:4" ht="28.95" customHeight="1">
      <c r="A22" s="1"/>
      <c r="B22" s="1"/>
      <c r="C22" s="1"/>
      <c r="D22" s="1"/>
    </row>
    <row r="23" spans="1:4" ht="28.95" customHeight="1">
      <c r="A23" s="1"/>
      <c r="B23" s="1"/>
      <c r="C23" s="1"/>
      <c r="D23" s="10" t="s">
        <v>69</v>
      </c>
    </row>
    <row r="24" spans="1:4" ht="28.95" customHeight="1">
      <c r="A24" s="1"/>
      <c r="B24" s="1"/>
      <c r="C24" s="1"/>
      <c r="D24" s="1"/>
    </row>
    <row r="25" spans="1:4" ht="28.95" customHeight="1">
      <c r="A25" s="1"/>
      <c r="B25" s="1"/>
      <c r="C25" s="1"/>
      <c r="D25" s="1"/>
    </row>
    <row r="26" spans="1:4" ht="25.95" customHeight="1">
      <c r="A26" s="1"/>
      <c r="B26" s="1"/>
      <c r="C26" s="1"/>
      <c r="D26" s="1"/>
    </row>
    <row r="27" spans="1:4" ht="25.95" customHeight="1">
      <c r="A27" s="1"/>
      <c r="B27" s="1"/>
      <c r="C27" s="1"/>
      <c r="D27" s="1"/>
    </row>
  </sheetData>
  <phoneticPr fontId="17" type="noConversion"/>
  <conditionalFormatting sqref="B5:B7">
    <cfRule type="expression" dxfId="34" priority="1">
      <formula>AND(ISNUMBER(B5),B5&lt;0)</formula>
    </cfRule>
    <cfRule type="expression" dxfId="33" priority="2">
      <formula>ISTEXT(B5)</formula>
    </cfRule>
  </conditionalFormatting>
  <dataValidations count="2">
    <dataValidation type="decimal" sqref="B19 B17 B14:B15" xr:uid="{00000000-0002-0000-0200-000000000000}">
      <formula1>0</formula1>
      <formula2>1000000000000</formula2>
    </dataValidation>
    <dataValidation type="decimal" sqref="B16 B18" xr:uid="{00000000-0002-0000-0200-000002000000}">
      <formula1>0</formula1>
      <formula2>100</formula2>
    </dataValidation>
  </dataValidations>
  <hyperlinks>
    <hyperlink ref="D23" location="'시작'!A1" display="← 계산 스튜디오로 돌아가기" xr:uid="{00000000-0004-0000-0200-000000000000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216B60"/>
  </sheetPr>
  <dimension ref="A1:D27"/>
  <sheetViews>
    <sheetView showGridLines="0" workbookViewId="0"/>
  </sheetViews>
  <sheetFormatPr defaultRowHeight="13.8"/>
  <cols>
    <col min="1" max="1" width="43" customWidth="1"/>
    <col min="2" max="2" width="26" customWidth="1"/>
    <col min="3" max="3" width="5" customWidth="1"/>
    <col min="4" max="4" width="49" customWidth="1"/>
  </cols>
  <sheetData>
    <row r="1" spans="1:4" ht="28.95" customHeight="1">
      <c r="A1" s="1"/>
      <c r="B1" s="1"/>
      <c r="C1" s="1"/>
      <c r="D1" s="1"/>
    </row>
    <row r="2" spans="1:4" ht="46.05" customHeight="1">
      <c r="A2" s="18" t="s">
        <v>80</v>
      </c>
      <c r="B2" s="8"/>
      <c r="C2" s="1"/>
      <c r="D2" s="19" t="s">
        <v>49</v>
      </c>
    </row>
    <row r="3" spans="1:4" ht="28.95" customHeight="1">
      <c r="A3" s="1"/>
      <c r="B3" s="1"/>
      <c r="C3" s="1"/>
      <c r="D3" s="1"/>
    </row>
    <row r="4" spans="1:4" ht="28.95" customHeight="1">
      <c r="A4" s="2" t="s">
        <v>50</v>
      </c>
      <c r="B4" s="2" t="s">
        <v>51</v>
      </c>
      <c r="C4" s="1"/>
      <c r="D4" s="26" t="s">
        <v>52</v>
      </c>
    </row>
    <row r="5" spans="1:4" ht="45" customHeight="1">
      <c r="A5" s="20" t="s">
        <v>81</v>
      </c>
      <c r="B5" s="22">
        <f>IFERROR(IF(AND(COUNT(B14:B16)=3,MIN(B14:B16)&gt;=0,B14&lt;=100,B14&gt;0,B16&gt;0),B15*B14/100,"입력 확인"),"입력 확인")</f>
        <v>9699</v>
      </c>
      <c r="C5" s="1"/>
      <c r="D5" s="25" t="s">
        <v>54</v>
      </c>
    </row>
    <row r="6" spans="1:4" ht="45" customHeight="1">
      <c r="A6" s="20" t="s">
        <v>82</v>
      </c>
      <c r="B6" s="22">
        <f>IFERROR(IF(AND(COUNT(B14:B16)=3,MIN(B14:B16)&gt;=0,B14&lt;=100,B14&gt;0,B16&gt;0),B5-B16,"입력 확인"),"입력 확인")</f>
        <v>2199</v>
      </c>
      <c r="C6" s="1"/>
      <c r="D6" s="25" t="s">
        <v>56</v>
      </c>
    </row>
    <row r="7" spans="1:4" ht="45" customHeight="1">
      <c r="A7" s="20" t="s">
        <v>83</v>
      </c>
      <c r="B7" s="21">
        <f>IFERROR(IF(AND(COUNT(B14:B16)=3,MIN(B14:B16)&gt;=0,B14&lt;=100,B14&gt;0,B16&gt;0),10000/B14,"입력 확인"),"입력 확인")</f>
        <v>309.31023816888342</v>
      </c>
      <c r="C7" s="1"/>
      <c r="D7" s="25" t="s">
        <v>57</v>
      </c>
    </row>
    <row r="8" spans="1:4" ht="45" customHeight="1">
      <c r="A8" s="20" t="s">
        <v>84</v>
      </c>
      <c r="B8" s="21">
        <f>IFERROR(IF(AND(COUNT(B14:B16)=3,MIN(B14:B16)&gt;=0,B14&lt;=100,B14&gt;0,B16&gt;0),B15/B16*100,"입력 확인"),"입력 확인")</f>
        <v>400</v>
      </c>
      <c r="C8" s="1"/>
      <c r="D8" s="25" t="s">
        <v>58</v>
      </c>
    </row>
    <row r="9" spans="1:4" ht="28.95" customHeight="1">
      <c r="A9" s="1"/>
      <c r="B9" s="1"/>
      <c r="C9" s="1"/>
      <c r="D9" s="1"/>
    </row>
    <row r="10" spans="1:4" ht="28.95" customHeight="1">
      <c r="A10" s="1"/>
      <c r="B10" s="1"/>
      <c r="C10" s="1"/>
      <c r="D10" s="1"/>
    </row>
    <row r="11" spans="1:4" ht="28.95" customHeight="1">
      <c r="A11" s="1"/>
      <c r="B11" s="1"/>
      <c r="C11" s="1"/>
      <c r="D11" s="19" t="s">
        <v>85</v>
      </c>
    </row>
    <row r="12" spans="1:4" ht="28.95" customHeight="1">
      <c r="A12" s="1"/>
      <c r="B12" s="1"/>
      <c r="C12" s="1"/>
      <c r="D12" s="19" t="s">
        <v>86</v>
      </c>
    </row>
    <row r="13" spans="1:4" ht="28.95" customHeight="1">
      <c r="A13" s="2" t="s">
        <v>61</v>
      </c>
      <c r="B13" s="2" t="s">
        <v>62</v>
      </c>
      <c r="C13" s="1"/>
      <c r="D13" s="19" t="s">
        <v>63</v>
      </c>
    </row>
    <row r="14" spans="1:4" ht="37.049999999999997" customHeight="1">
      <c r="A14" s="1" t="s">
        <v>87</v>
      </c>
      <c r="B14" s="24">
        <v>32.33</v>
      </c>
      <c r="C14" s="1"/>
      <c r="D14" s="19"/>
    </row>
    <row r="15" spans="1:4" ht="37.049999999999997" customHeight="1">
      <c r="A15" s="1" t="s">
        <v>88</v>
      </c>
      <c r="B15" s="23">
        <v>30000</v>
      </c>
      <c r="C15" s="1"/>
      <c r="D15" s="19"/>
    </row>
    <row r="16" spans="1:4" ht="37.049999999999997" customHeight="1">
      <c r="A16" s="1" t="s">
        <v>89</v>
      </c>
      <c r="B16" s="23">
        <v>7500</v>
      </c>
      <c r="C16" s="1"/>
      <c r="D16" s="19"/>
    </row>
    <row r="17" spans="1:4" ht="28.95" customHeight="1">
      <c r="A17" s="1"/>
      <c r="B17" s="1"/>
      <c r="C17" s="1"/>
      <c r="D17" s="19"/>
    </row>
    <row r="18" spans="1:4" ht="28.95" customHeight="1">
      <c r="A18" s="1"/>
      <c r="B18" s="1"/>
      <c r="C18" s="1"/>
      <c r="D18" s="19"/>
    </row>
    <row r="19" spans="1:4" ht="28.95" customHeight="1">
      <c r="A19" s="1"/>
      <c r="B19" s="1"/>
      <c r="C19" s="1"/>
      <c r="D19" s="19"/>
    </row>
    <row r="20" spans="1:4" ht="28.95" customHeight="1">
      <c r="A20" s="1"/>
      <c r="B20" s="1"/>
      <c r="C20" s="1"/>
      <c r="D20" s="17" t="s">
        <v>68</v>
      </c>
    </row>
    <row r="21" spans="1:4" ht="28.95" customHeight="1">
      <c r="A21" s="1"/>
      <c r="B21" s="1"/>
      <c r="C21" s="1"/>
      <c r="D21" s="1"/>
    </row>
    <row r="22" spans="1:4" ht="28.95" customHeight="1">
      <c r="A22" s="1"/>
      <c r="B22" s="1"/>
      <c r="C22" s="1"/>
      <c r="D22" s="1"/>
    </row>
    <row r="23" spans="1:4" ht="28.95" customHeight="1">
      <c r="A23" s="1"/>
      <c r="B23" s="1"/>
      <c r="C23" s="1"/>
      <c r="D23" s="10" t="s">
        <v>69</v>
      </c>
    </row>
    <row r="24" spans="1:4" ht="28.95" customHeight="1">
      <c r="A24" s="1"/>
      <c r="B24" s="1"/>
      <c r="C24" s="1"/>
      <c r="D24" s="1"/>
    </row>
    <row r="25" spans="1:4" ht="28.95" customHeight="1">
      <c r="A25" s="1"/>
      <c r="B25" s="1"/>
      <c r="C25" s="1"/>
      <c r="D25" s="1"/>
    </row>
    <row r="26" spans="1:4" ht="25.95" customHeight="1">
      <c r="A26" s="1"/>
      <c r="B26" s="1"/>
      <c r="C26" s="1"/>
      <c r="D26" s="1"/>
    </row>
    <row r="27" spans="1:4" ht="25.95" customHeight="1">
      <c r="A27" s="1"/>
      <c r="B27" s="1"/>
      <c r="C27" s="1"/>
      <c r="D27" s="1"/>
    </row>
  </sheetData>
  <phoneticPr fontId="17" type="noConversion"/>
  <conditionalFormatting sqref="B5:B8">
    <cfRule type="expression" dxfId="32" priority="1">
      <formula>AND(ISNUMBER(B5),B5&lt;0)</formula>
    </cfRule>
    <cfRule type="expression" dxfId="31" priority="2">
      <formula>ISTEXT(B5)</formula>
    </cfRule>
  </conditionalFormatting>
  <dataValidations count="2">
    <dataValidation type="decimal" sqref="B14" xr:uid="{00000000-0002-0000-0300-000000000000}">
      <formula1>0</formula1>
      <formula2>100</formula2>
    </dataValidation>
    <dataValidation type="decimal" sqref="B15:B16" xr:uid="{00000000-0002-0000-0300-000001000000}">
      <formula1>0</formula1>
      <formula2>1000000000000</formula2>
    </dataValidation>
  </dataValidations>
  <hyperlinks>
    <hyperlink ref="D23" location="'시작'!A1" display="← 계산 스튜디오로 돌아가기" xr:uid="{00000000-0004-0000-0300-000000000000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216B60"/>
  </sheetPr>
  <dimension ref="A1:D27"/>
  <sheetViews>
    <sheetView showGridLines="0" workbookViewId="0"/>
  </sheetViews>
  <sheetFormatPr defaultRowHeight="13.8"/>
  <cols>
    <col min="1" max="1" width="43" customWidth="1"/>
    <col min="2" max="2" width="26" customWidth="1"/>
    <col min="3" max="3" width="5" customWidth="1"/>
    <col min="4" max="4" width="49" customWidth="1"/>
  </cols>
  <sheetData>
    <row r="1" spans="1:4" ht="28.95" customHeight="1">
      <c r="A1" s="1"/>
      <c r="B1" s="1"/>
      <c r="C1" s="1"/>
      <c r="D1" s="1"/>
    </row>
    <row r="2" spans="1:4" ht="46.05" customHeight="1">
      <c r="A2" s="18" t="s">
        <v>90</v>
      </c>
      <c r="B2" s="8"/>
      <c r="C2" s="1"/>
      <c r="D2" s="19" t="s">
        <v>49</v>
      </c>
    </row>
    <row r="3" spans="1:4" ht="28.95" customHeight="1">
      <c r="A3" s="1"/>
      <c r="B3" s="1"/>
      <c r="C3" s="1"/>
      <c r="D3" s="1"/>
    </row>
    <row r="4" spans="1:4" ht="28.95" customHeight="1">
      <c r="A4" s="2" t="s">
        <v>50</v>
      </c>
      <c r="B4" s="2" t="s">
        <v>51</v>
      </c>
      <c r="C4" s="1"/>
      <c r="D4" s="26" t="s">
        <v>52</v>
      </c>
    </row>
    <row r="5" spans="1:4" ht="45" customHeight="1">
      <c r="A5" s="20" t="s">
        <v>91</v>
      </c>
      <c r="B5" s="22">
        <f>IFERROR(IF(AND(COUNT(B14:B19)=6,MIN(B14:B19)&gt;=0,B14&lt;=100,B14&gt;0),ROUNDUP(ROUND((B17+B15+B16)/(B14/100),8),0),"입력 확인"),"입력 확인")</f>
        <v>30000</v>
      </c>
      <c r="C5" s="1"/>
      <c r="D5" s="25" t="s">
        <v>54</v>
      </c>
    </row>
    <row r="6" spans="1:4" ht="45" customHeight="1">
      <c r="A6" s="20" t="s">
        <v>92</v>
      </c>
      <c r="B6" s="22">
        <f>IFERROR(IF(AND(COUNT(B14:B19)=6,MIN(B14:B19)&gt;=0,B14&lt;=100,B14&gt;0),ROUNDUP(ROUND(B18+B19/(B14/100),8),0),"입력 확인"),"입력 확인")</f>
        <v>28572</v>
      </c>
      <c r="C6" s="1"/>
      <c r="D6" s="25" t="s">
        <v>56</v>
      </c>
    </row>
    <row r="7" spans="1:4" ht="45" customHeight="1">
      <c r="A7" s="20" t="s">
        <v>93</v>
      </c>
      <c r="B7" s="22">
        <f>IFERROR(IF(AND(COUNT(B14:B19)=6,MIN(B14:B19)&gt;=0,B14&lt;=100,B14&gt;0),ROUNDUP(ROUND(B19/(B14/100),8),0),"입력 확인"),"입력 확인")</f>
        <v>8572</v>
      </c>
      <c r="C7" s="1"/>
      <c r="D7" s="25" t="s">
        <v>57</v>
      </c>
    </row>
    <row r="8" spans="1:4" ht="45" customHeight="1">
      <c r="A8" s="20" t="s">
        <v>71</v>
      </c>
      <c r="B8" s="22">
        <f>IFERROR(IF(AND(COUNT(B14:B19)=6,MIN(B14:B19)&gt;=0,B14&lt;=100,B14&gt;0),B18*B14/100+B19-B15-B16,"입력 확인"),"입력 확인")</f>
        <v>6500</v>
      </c>
      <c r="C8" s="1"/>
      <c r="D8" s="25" t="s">
        <v>58</v>
      </c>
    </row>
    <row r="9" spans="1:4" ht="28.95" customHeight="1">
      <c r="A9" s="1"/>
      <c r="B9" s="1"/>
      <c r="C9" s="1"/>
      <c r="D9" s="1"/>
    </row>
    <row r="10" spans="1:4" ht="28.95" customHeight="1">
      <c r="A10" s="1"/>
      <c r="B10" s="1"/>
      <c r="C10" s="1"/>
      <c r="D10" s="1"/>
    </row>
    <row r="11" spans="1:4" ht="28.95" customHeight="1">
      <c r="A11" s="1"/>
      <c r="B11" s="1"/>
      <c r="C11" s="1"/>
      <c r="D11" s="19" t="s">
        <v>94</v>
      </c>
    </row>
    <row r="12" spans="1:4" ht="28.95" customHeight="1">
      <c r="A12" s="1"/>
      <c r="B12" s="1"/>
      <c r="C12" s="1"/>
      <c r="D12" s="19" t="s">
        <v>95</v>
      </c>
    </row>
    <row r="13" spans="1:4" ht="28.95" customHeight="1">
      <c r="A13" s="2" t="s">
        <v>61</v>
      </c>
      <c r="B13" s="2" t="s">
        <v>62</v>
      </c>
      <c r="C13" s="1"/>
      <c r="D13" s="19" t="s">
        <v>96</v>
      </c>
    </row>
    <row r="14" spans="1:4" ht="37.049999999999997" customHeight="1">
      <c r="A14" s="1" t="s">
        <v>97</v>
      </c>
      <c r="B14" s="24">
        <v>35</v>
      </c>
      <c r="C14" s="1"/>
      <c r="D14" s="19"/>
    </row>
    <row r="15" spans="1:4" ht="37.049999999999997" customHeight="1">
      <c r="A15" s="1" t="s">
        <v>98</v>
      </c>
      <c r="B15" s="23">
        <v>3000</v>
      </c>
      <c r="C15" s="1"/>
      <c r="D15" s="19"/>
    </row>
    <row r="16" spans="1:4" ht="37.049999999999997" customHeight="1">
      <c r="A16" s="1" t="s">
        <v>99</v>
      </c>
      <c r="B16" s="23">
        <v>500</v>
      </c>
      <c r="C16" s="1"/>
      <c r="D16" s="19"/>
    </row>
    <row r="17" spans="1:4" ht="37.049999999999997" customHeight="1">
      <c r="A17" s="1" t="s">
        <v>100</v>
      </c>
      <c r="B17" s="23">
        <v>7000</v>
      </c>
      <c r="C17" s="1"/>
      <c r="D17" s="19"/>
    </row>
    <row r="18" spans="1:4" ht="37.049999999999997" customHeight="1">
      <c r="A18" s="1" t="s">
        <v>101</v>
      </c>
      <c r="B18" s="23">
        <v>20000</v>
      </c>
      <c r="C18" s="1"/>
      <c r="D18" s="19"/>
    </row>
    <row r="19" spans="1:4" ht="37.049999999999997" customHeight="1">
      <c r="A19" s="1" t="s">
        <v>102</v>
      </c>
      <c r="B19" s="23">
        <v>3000</v>
      </c>
      <c r="C19" s="1"/>
      <c r="D19" s="19"/>
    </row>
    <row r="20" spans="1:4" ht="28.95" customHeight="1">
      <c r="A20" s="1"/>
      <c r="B20" s="1"/>
      <c r="C20" s="1"/>
      <c r="D20" s="17" t="s">
        <v>68</v>
      </c>
    </row>
    <row r="21" spans="1:4" ht="28.95" customHeight="1">
      <c r="A21" s="1"/>
      <c r="B21" s="1"/>
      <c r="C21" s="1"/>
      <c r="D21" s="1"/>
    </row>
    <row r="22" spans="1:4" ht="28.95" customHeight="1">
      <c r="A22" s="1"/>
      <c r="B22" s="1"/>
      <c r="C22" s="1"/>
      <c r="D22" s="1"/>
    </row>
    <row r="23" spans="1:4" ht="28.95" customHeight="1">
      <c r="A23" s="1"/>
      <c r="B23" s="1"/>
      <c r="C23" s="1"/>
      <c r="D23" s="10" t="s">
        <v>69</v>
      </c>
    </row>
    <row r="24" spans="1:4" ht="28.95" customHeight="1">
      <c r="A24" s="1"/>
      <c r="B24" s="1"/>
      <c r="C24" s="1"/>
      <c r="D24" s="1"/>
    </row>
    <row r="25" spans="1:4" ht="28.95" customHeight="1">
      <c r="A25" s="1"/>
      <c r="B25" s="1"/>
      <c r="C25" s="1"/>
      <c r="D25" s="1"/>
    </row>
    <row r="26" spans="1:4" ht="25.95" customHeight="1">
      <c r="A26" s="1"/>
      <c r="B26" s="1"/>
      <c r="C26" s="1"/>
      <c r="D26" s="1"/>
    </row>
    <row r="27" spans="1:4" ht="25.95" customHeight="1">
      <c r="A27" s="1"/>
      <c r="B27" s="1"/>
      <c r="C27" s="1"/>
      <c r="D27" s="1"/>
    </row>
  </sheetData>
  <phoneticPr fontId="17" type="noConversion"/>
  <conditionalFormatting sqref="B5:B8">
    <cfRule type="expression" dxfId="30" priority="1">
      <formula>AND(ISNUMBER(B5),B5&lt;0)</formula>
    </cfRule>
    <cfRule type="expression" dxfId="29" priority="2">
      <formula>ISTEXT(B5)</formula>
    </cfRule>
  </conditionalFormatting>
  <dataValidations count="2">
    <dataValidation type="decimal" sqref="B14" xr:uid="{00000000-0002-0000-0400-000000000000}">
      <formula1>0</formula1>
      <formula2>100</formula2>
    </dataValidation>
    <dataValidation type="decimal" sqref="B15:B19" xr:uid="{00000000-0002-0000-0400-000001000000}">
      <formula1>0</formula1>
      <formula2>1000000000000</formula2>
    </dataValidation>
  </dataValidations>
  <hyperlinks>
    <hyperlink ref="D23" location="'시작'!A1" display="← 계산 스튜디오로 돌아가기" xr:uid="{00000000-0004-0000-0400-000000000000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216B60"/>
  </sheetPr>
  <dimension ref="A1:D27"/>
  <sheetViews>
    <sheetView showGridLines="0" workbookViewId="0"/>
  </sheetViews>
  <sheetFormatPr defaultRowHeight="13.8"/>
  <cols>
    <col min="1" max="1" width="43" customWidth="1"/>
    <col min="2" max="2" width="26" customWidth="1"/>
    <col min="3" max="3" width="5" customWidth="1"/>
    <col min="4" max="4" width="49" customWidth="1"/>
  </cols>
  <sheetData>
    <row r="1" spans="1:4" ht="28.95" customHeight="1">
      <c r="A1" s="1"/>
      <c r="B1" s="1"/>
      <c r="C1" s="1"/>
      <c r="D1" s="1"/>
    </row>
    <row r="2" spans="1:4" ht="46.05" customHeight="1">
      <c r="A2" s="18" t="s">
        <v>103</v>
      </c>
      <c r="B2" s="8"/>
      <c r="C2" s="1"/>
      <c r="D2" s="19" t="s">
        <v>49</v>
      </c>
    </row>
    <row r="3" spans="1:4" ht="28.95" customHeight="1">
      <c r="A3" s="1"/>
      <c r="B3" s="1"/>
      <c r="C3" s="1"/>
      <c r="D3" s="1"/>
    </row>
    <row r="4" spans="1:4" ht="28.95" customHeight="1">
      <c r="A4" s="2" t="s">
        <v>50</v>
      </c>
      <c r="B4" s="2" t="s">
        <v>51</v>
      </c>
      <c r="C4" s="1"/>
      <c r="D4" s="26" t="s">
        <v>52</v>
      </c>
    </row>
    <row r="5" spans="1:4" ht="45" customHeight="1">
      <c r="A5" s="20" t="s">
        <v>104</v>
      </c>
      <c r="B5" s="22">
        <f>IFERROR(IF(AND(COUNT(B14:B19)=6,MIN(B14:B19)&gt;=0,B16&lt;=100),B14-B15-B14*B16/100-B17-B18,"입력 확인"),"입력 확인")</f>
        <v>9700</v>
      </c>
      <c r="C5" s="1"/>
      <c r="D5" s="25" t="s">
        <v>54</v>
      </c>
    </row>
    <row r="6" spans="1:4" ht="45" customHeight="1">
      <c r="A6" s="20" t="s">
        <v>105</v>
      </c>
      <c r="B6" s="22">
        <f>IFERROR(IF(AND(COUNT(B14:B19)=6,MIN(B14:B19)&gt;=0,B16&lt;=100),B19-B15-B17-B18,"입력 확인"),"입력 확인")</f>
        <v>9700</v>
      </c>
      <c r="C6" s="1"/>
      <c r="D6" s="25" t="s">
        <v>56</v>
      </c>
    </row>
    <row r="7" spans="1:4" ht="45" customHeight="1">
      <c r="A7" s="20" t="s">
        <v>106</v>
      </c>
      <c r="B7" s="22">
        <f>IFERROR(IF(AND(COUNT(B14:B19)=6,MIN(B14:B19)&gt;=0,B16&lt;=100),B14-B14*B16/100-B19,"입력 확인"),"입력 확인")</f>
        <v>0</v>
      </c>
      <c r="C7" s="1"/>
      <c r="D7" s="25" t="s">
        <v>57</v>
      </c>
    </row>
    <row r="8" spans="1:4" ht="28.95" customHeight="1">
      <c r="A8" s="1"/>
      <c r="B8" s="1"/>
      <c r="C8" s="1"/>
      <c r="D8" s="25" t="s">
        <v>58</v>
      </c>
    </row>
    <row r="9" spans="1:4" ht="28.95" customHeight="1">
      <c r="A9" s="1"/>
      <c r="B9" s="1"/>
      <c r="C9" s="1"/>
      <c r="D9" s="1"/>
    </row>
    <row r="10" spans="1:4" ht="28.95" customHeight="1">
      <c r="A10" s="1"/>
      <c r="B10" s="1"/>
      <c r="C10" s="1"/>
      <c r="D10" s="1"/>
    </row>
    <row r="11" spans="1:4" ht="28.95" customHeight="1">
      <c r="A11" s="1"/>
      <c r="B11" s="1"/>
      <c r="C11" s="1"/>
      <c r="D11" s="19" t="s">
        <v>107</v>
      </c>
    </row>
    <row r="12" spans="1:4" ht="28.95" customHeight="1">
      <c r="A12" s="1"/>
      <c r="B12" s="1"/>
      <c r="C12" s="1"/>
      <c r="D12" s="19" t="s">
        <v>108</v>
      </c>
    </row>
    <row r="13" spans="1:4" ht="28.95" customHeight="1">
      <c r="A13" s="2" t="s">
        <v>61</v>
      </c>
      <c r="B13" s="2" t="s">
        <v>62</v>
      </c>
      <c r="C13" s="1"/>
      <c r="D13" s="19" t="s">
        <v>109</v>
      </c>
    </row>
    <row r="14" spans="1:4" ht="37.049999999999997" customHeight="1">
      <c r="A14" s="1" t="s">
        <v>64</v>
      </c>
      <c r="B14" s="23">
        <v>30000</v>
      </c>
      <c r="C14" s="1"/>
      <c r="D14" s="19" t="s">
        <v>110</v>
      </c>
    </row>
    <row r="15" spans="1:4" ht="37.049999999999997" customHeight="1">
      <c r="A15" s="1" t="s">
        <v>65</v>
      </c>
      <c r="B15" s="23">
        <v>15000</v>
      </c>
      <c r="C15" s="1"/>
      <c r="D15" s="19" t="s">
        <v>111</v>
      </c>
    </row>
    <row r="16" spans="1:4" ht="37.049999999999997" customHeight="1">
      <c r="A16" s="1" t="s">
        <v>66</v>
      </c>
      <c r="B16" s="24">
        <v>6</v>
      </c>
      <c r="C16" s="1"/>
      <c r="D16" s="19"/>
    </row>
    <row r="17" spans="1:4" ht="37.049999999999997" customHeight="1">
      <c r="A17" s="1" t="s">
        <v>98</v>
      </c>
      <c r="B17" s="23">
        <v>3000</v>
      </c>
      <c r="C17" s="1"/>
      <c r="D17" s="19"/>
    </row>
    <row r="18" spans="1:4" ht="37.049999999999997" customHeight="1">
      <c r="A18" s="1" t="s">
        <v>99</v>
      </c>
      <c r="B18" s="23">
        <v>500</v>
      </c>
      <c r="C18" s="1"/>
      <c r="D18" s="19"/>
    </row>
    <row r="19" spans="1:4" ht="37.049999999999997" customHeight="1">
      <c r="A19" s="1" t="s">
        <v>112</v>
      </c>
      <c r="B19" s="23">
        <v>28200</v>
      </c>
      <c r="C19" s="1"/>
      <c r="D19" s="19"/>
    </row>
    <row r="20" spans="1:4" ht="28.95" customHeight="1">
      <c r="A20" s="1"/>
      <c r="B20" s="1"/>
      <c r="C20" s="1"/>
      <c r="D20" s="17" t="s">
        <v>68</v>
      </c>
    </row>
    <row r="21" spans="1:4" ht="28.95" customHeight="1">
      <c r="A21" s="1"/>
      <c r="B21" s="1"/>
      <c r="C21" s="1"/>
      <c r="D21" s="1"/>
    </row>
    <row r="22" spans="1:4" ht="28.95" customHeight="1">
      <c r="A22" s="1"/>
      <c r="B22" s="1"/>
      <c r="C22" s="1"/>
      <c r="D22" s="1"/>
    </row>
    <row r="23" spans="1:4" ht="28.95" customHeight="1">
      <c r="A23" s="1"/>
      <c r="B23" s="1"/>
      <c r="C23" s="1"/>
      <c r="D23" s="10" t="s">
        <v>69</v>
      </c>
    </row>
    <row r="24" spans="1:4" ht="28.95" customHeight="1">
      <c r="A24" s="1"/>
      <c r="B24" s="1"/>
      <c r="C24" s="1"/>
      <c r="D24" s="1"/>
    </row>
    <row r="25" spans="1:4" ht="28.95" customHeight="1">
      <c r="A25" s="1"/>
      <c r="B25" s="1"/>
      <c r="C25" s="1"/>
      <c r="D25" s="1"/>
    </row>
    <row r="26" spans="1:4" ht="25.95" customHeight="1">
      <c r="A26" s="1"/>
      <c r="B26" s="1"/>
      <c r="C26" s="1"/>
      <c r="D26" s="1"/>
    </row>
    <row r="27" spans="1:4" ht="25.95" customHeight="1">
      <c r="A27" s="1"/>
      <c r="B27" s="1"/>
      <c r="C27" s="1"/>
      <c r="D27" s="1"/>
    </row>
  </sheetData>
  <phoneticPr fontId="17" type="noConversion"/>
  <conditionalFormatting sqref="B5:B7">
    <cfRule type="expression" dxfId="28" priority="1">
      <formula>AND(ISNUMBER(B5),B5&lt;0)</formula>
    </cfRule>
    <cfRule type="expression" dxfId="27" priority="2">
      <formula>ISTEXT(B5)</formula>
    </cfRule>
  </conditionalFormatting>
  <dataValidations count="2">
    <dataValidation type="decimal" sqref="B17:B19 B14:B15" xr:uid="{00000000-0002-0000-0500-000000000000}">
      <formula1>0</formula1>
      <formula2>1000000000000</formula2>
    </dataValidation>
    <dataValidation type="decimal" sqref="B16" xr:uid="{00000000-0002-0000-0500-000002000000}">
      <formula1>0</formula1>
      <formula2>100</formula2>
    </dataValidation>
  </dataValidations>
  <hyperlinks>
    <hyperlink ref="D23" location="'시작'!A1" display="← 계산 스튜디오로 돌아가기" xr:uid="{00000000-0004-0000-0500-000000000000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216B60"/>
  </sheetPr>
  <dimension ref="A1:D27"/>
  <sheetViews>
    <sheetView showGridLines="0" workbookViewId="0"/>
  </sheetViews>
  <sheetFormatPr defaultRowHeight="13.8"/>
  <cols>
    <col min="1" max="1" width="43" customWidth="1"/>
    <col min="2" max="2" width="26" customWidth="1"/>
    <col min="3" max="3" width="5" customWidth="1"/>
    <col min="4" max="4" width="49" customWidth="1"/>
  </cols>
  <sheetData>
    <row r="1" spans="1:4" ht="28.95" customHeight="1">
      <c r="A1" s="1"/>
      <c r="B1" s="1"/>
      <c r="C1" s="1"/>
      <c r="D1" s="1"/>
    </row>
    <row r="2" spans="1:4" ht="46.05" customHeight="1">
      <c r="A2" s="18" t="s">
        <v>113</v>
      </c>
      <c r="B2" s="8"/>
      <c r="C2" s="1"/>
      <c r="D2" s="19" t="s">
        <v>49</v>
      </c>
    </row>
    <row r="3" spans="1:4" ht="28.95" customHeight="1">
      <c r="A3" s="1"/>
      <c r="B3" s="1"/>
      <c r="C3" s="1"/>
      <c r="D3" s="1"/>
    </row>
    <row r="4" spans="1:4" ht="28.95" customHeight="1">
      <c r="A4" s="2" t="s">
        <v>50</v>
      </c>
      <c r="B4" s="2" t="s">
        <v>51</v>
      </c>
      <c r="C4" s="1"/>
      <c r="D4" s="26" t="s">
        <v>52</v>
      </c>
    </row>
    <row r="5" spans="1:4" ht="45" customHeight="1">
      <c r="A5" s="20" t="s">
        <v>114</v>
      </c>
      <c r="B5" s="22">
        <f>IFERROR(IF(AND(COUNT(B14:B19)=6,MIN(B14:B19)&gt;=0,B16&lt;=100,MOD(B18,1)=0,B16&lt;100,B18&gt;=2,MOD(B18,1)=0),B18*(B14*(1-B16/100)-B15-B17),"입력 확인"),"입력 확인")</f>
        <v>19400</v>
      </c>
      <c r="C5" s="1"/>
      <c r="D5" s="25" t="s">
        <v>54</v>
      </c>
    </row>
    <row r="6" spans="1:4" ht="45" customHeight="1">
      <c r="A6" s="20" t="s">
        <v>115</v>
      </c>
      <c r="B6" s="22">
        <f>IFERROR(IF(AND(COUNT(B14:B19)=6,MIN(B14:B19)&gt;=0,B16&lt;=100,MOD(B18,1)=0,B16&lt;100,B18&gt;=2,MOD(B18,1)=0),B19*(1-B16/100)-B18*B15-B17,"입력 확인"),"입력 확인")</f>
        <v>20080</v>
      </c>
      <c r="C6" s="1"/>
      <c r="D6" s="25" t="s">
        <v>56</v>
      </c>
    </row>
    <row r="7" spans="1:4" ht="45" customHeight="1">
      <c r="A7" s="20" t="s">
        <v>116</v>
      </c>
      <c r="B7" s="22">
        <f>IFERROR(IF(AND(COUNT(B14:B19)=6,MIN(B14:B19)&gt;=0,B16&lt;=100,MOD(B18,1)=0,B16&lt;100,B18&gt;=2,MOD(B18,1)=0),B6-B5,"입력 확인"),"입력 확인")</f>
        <v>680</v>
      </c>
      <c r="C7" s="1"/>
      <c r="D7" s="25" t="s">
        <v>57</v>
      </c>
    </row>
    <row r="8" spans="1:4" ht="45" customHeight="1">
      <c r="A8" s="20" t="s">
        <v>117</v>
      </c>
      <c r="B8" s="22">
        <f>IFERROR(IF(AND(COUNT(B14:B19)=6,MIN(B14:B19)&gt;=0,B16&lt;=100,MOD(B18,1)=0,B16&lt;100,B18&gt;=2,MOD(B18,1)=0),ROUNDUP(ROUND((B5+B18*B15+B17)/(1-B16/100),8),0),"입력 확인"),"입력 확인")</f>
        <v>56277</v>
      </c>
      <c r="C8" s="1"/>
      <c r="D8" s="25" t="s">
        <v>58</v>
      </c>
    </row>
    <row r="9" spans="1:4" ht="28.95" customHeight="1">
      <c r="A9" s="1"/>
      <c r="B9" s="1"/>
      <c r="C9" s="1"/>
      <c r="D9" s="1"/>
    </row>
    <row r="10" spans="1:4" ht="28.95" customHeight="1">
      <c r="A10" s="1"/>
      <c r="B10" s="1"/>
      <c r="C10" s="1"/>
      <c r="D10" s="1"/>
    </row>
    <row r="11" spans="1:4" ht="28.95" customHeight="1">
      <c r="A11" s="1"/>
      <c r="B11" s="1"/>
      <c r="C11" s="1"/>
      <c r="D11" s="19" t="s">
        <v>118</v>
      </c>
    </row>
    <row r="12" spans="1:4" ht="28.95" customHeight="1">
      <c r="A12" s="1"/>
      <c r="B12" s="1"/>
      <c r="C12" s="1"/>
      <c r="D12" s="19" t="s">
        <v>119</v>
      </c>
    </row>
    <row r="13" spans="1:4" ht="28.95" customHeight="1">
      <c r="A13" s="2" t="s">
        <v>61</v>
      </c>
      <c r="B13" s="2" t="s">
        <v>62</v>
      </c>
      <c r="C13" s="1"/>
      <c r="D13" s="19" t="s">
        <v>120</v>
      </c>
    </row>
    <row r="14" spans="1:4" ht="37.049999999999997" customHeight="1">
      <c r="A14" s="1" t="s">
        <v>121</v>
      </c>
      <c r="B14" s="23">
        <v>30000</v>
      </c>
      <c r="C14" s="1"/>
      <c r="D14" s="19" t="s">
        <v>122</v>
      </c>
    </row>
    <row r="15" spans="1:4" ht="37.049999999999997" customHeight="1">
      <c r="A15" s="1" t="s">
        <v>123</v>
      </c>
      <c r="B15" s="23">
        <v>15000</v>
      </c>
      <c r="C15" s="1"/>
      <c r="D15" s="19" t="s">
        <v>124</v>
      </c>
    </row>
    <row r="16" spans="1:4" ht="37.049999999999997" customHeight="1">
      <c r="A16" s="1" t="s">
        <v>66</v>
      </c>
      <c r="B16" s="24">
        <v>6</v>
      </c>
      <c r="C16" s="1"/>
      <c r="D16" s="19" t="s">
        <v>111</v>
      </c>
    </row>
    <row r="17" spans="1:4" ht="37.049999999999997" customHeight="1">
      <c r="A17" s="1" t="s">
        <v>125</v>
      </c>
      <c r="B17" s="23">
        <v>3500</v>
      </c>
      <c r="C17" s="1"/>
      <c r="D17" s="19"/>
    </row>
    <row r="18" spans="1:4" ht="37.049999999999997" customHeight="1">
      <c r="A18" s="1" t="s">
        <v>126</v>
      </c>
      <c r="B18" s="23">
        <v>2</v>
      </c>
      <c r="C18" s="1"/>
      <c r="D18" s="19"/>
    </row>
    <row r="19" spans="1:4" ht="37.049999999999997" customHeight="1">
      <c r="A19" s="1" t="s">
        <v>127</v>
      </c>
      <c r="B19" s="23">
        <v>57000</v>
      </c>
      <c r="C19" s="1"/>
      <c r="D19" s="19"/>
    </row>
    <row r="20" spans="1:4" ht="28.95" customHeight="1">
      <c r="A20" s="1"/>
      <c r="B20" s="1"/>
      <c r="C20" s="1"/>
      <c r="D20" s="17" t="s">
        <v>68</v>
      </c>
    </row>
    <row r="21" spans="1:4" ht="28.95" customHeight="1">
      <c r="A21" s="1"/>
      <c r="B21" s="1"/>
      <c r="C21" s="1"/>
      <c r="D21" s="1"/>
    </row>
    <row r="22" spans="1:4" ht="28.95" customHeight="1">
      <c r="A22" s="1"/>
      <c r="B22" s="1"/>
      <c r="C22" s="1"/>
      <c r="D22" s="1"/>
    </row>
    <row r="23" spans="1:4" ht="28.95" customHeight="1">
      <c r="A23" s="1"/>
      <c r="B23" s="1"/>
      <c r="C23" s="1"/>
      <c r="D23" s="10" t="s">
        <v>69</v>
      </c>
    </row>
    <row r="24" spans="1:4" ht="28.95" customHeight="1">
      <c r="A24" s="1"/>
      <c r="B24" s="1"/>
      <c r="C24" s="1"/>
      <c r="D24" s="1"/>
    </row>
    <row r="25" spans="1:4" ht="28.95" customHeight="1">
      <c r="A25" s="1"/>
      <c r="B25" s="1"/>
      <c r="C25" s="1"/>
      <c r="D25" s="1"/>
    </row>
    <row r="26" spans="1:4" ht="25.95" customHeight="1">
      <c r="A26" s="1"/>
      <c r="B26" s="1"/>
      <c r="C26" s="1"/>
      <c r="D26" s="1"/>
    </row>
    <row r="27" spans="1:4" ht="25.95" customHeight="1">
      <c r="A27" s="1"/>
      <c r="B27" s="1"/>
      <c r="C27" s="1"/>
      <c r="D27" s="1"/>
    </row>
  </sheetData>
  <phoneticPr fontId="17" type="noConversion"/>
  <conditionalFormatting sqref="B5:B8">
    <cfRule type="expression" dxfId="26" priority="1">
      <formula>AND(ISNUMBER(B5),B5&lt;0)</formula>
    </cfRule>
    <cfRule type="expression" dxfId="25" priority="2">
      <formula>ISTEXT(B5)</formula>
    </cfRule>
  </conditionalFormatting>
  <dataValidations count="2">
    <dataValidation type="decimal" sqref="B17:B19 B14:B15" xr:uid="{00000000-0002-0000-0600-000000000000}">
      <formula1>0</formula1>
      <formula2>1000000000000</formula2>
    </dataValidation>
    <dataValidation type="decimal" sqref="B16" xr:uid="{00000000-0002-0000-0600-000002000000}">
      <formula1>0</formula1>
      <formula2>100</formula2>
    </dataValidation>
  </dataValidations>
  <hyperlinks>
    <hyperlink ref="D23" location="'시작'!A1" display="← 계산 스튜디오로 돌아가기" xr:uid="{00000000-0004-0000-0600-000000000000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216B60"/>
  </sheetPr>
  <dimension ref="A1:D27"/>
  <sheetViews>
    <sheetView showGridLines="0" workbookViewId="0"/>
  </sheetViews>
  <sheetFormatPr defaultRowHeight="13.8"/>
  <cols>
    <col min="1" max="1" width="43" customWidth="1"/>
    <col min="2" max="2" width="26" customWidth="1"/>
    <col min="3" max="3" width="5" customWidth="1"/>
    <col min="4" max="4" width="49" customWidth="1"/>
  </cols>
  <sheetData>
    <row r="1" spans="1:4" ht="28.95" customHeight="1">
      <c r="A1" s="1"/>
      <c r="B1" s="1"/>
      <c r="C1" s="1"/>
      <c r="D1" s="1"/>
    </row>
    <row r="2" spans="1:4" ht="46.05" customHeight="1">
      <c r="A2" s="18" t="s">
        <v>128</v>
      </c>
      <c r="B2" s="8"/>
      <c r="C2" s="1"/>
      <c r="D2" s="19" t="s">
        <v>49</v>
      </c>
    </row>
    <row r="3" spans="1:4" ht="28.95" customHeight="1">
      <c r="A3" s="1"/>
      <c r="B3" s="1"/>
      <c r="C3" s="1"/>
      <c r="D3" s="1"/>
    </row>
    <row r="4" spans="1:4" ht="28.95" customHeight="1">
      <c r="A4" s="2" t="s">
        <v>50</v>
      </c>
      <c r="B4" s="2" t="s">
        <v>51</v>
      </c>
      <c r="C4" s="1"/>
      <c r="D4" s="26" t="s">
        <v>52</v>
      </c>
    </row>
    <row r="5" spans="1:4" ht="45" customHeight="1">
      <c r="A5" s="20" t="s">
        <v>129</v>
      </c>
      <c r="B5" s="22">
        <f>IFERROR(IF(AND(COUNT(B14:B16)=3,MIN(B14:B16)&gt;=0,B15&lt;=100,B16&lt;=100,B14&gt;0,B15+B16&lt;=100),B14*(1-B15/100)*(1-B16/100),"입력 확인"),"입력 확인")</f>
        <v>24300</v>
      </c>
      <c r="C5" s="1"/>
      <c r="D5" s="25" t="s">
        <v>54</v>
      </c>
    </row>
    <row r="6" spans="1:4" ht="45" customHeight="1">
      <c r="A6" s="20" t="s">
        <v>130</v>
      </c>
      <c r="B6" s="22">
        <f>IFERROR(IF(AND(COUNT(B14:B16)=3,MIN(B14:B16)&gt;=0,B15&lt;=100,B16&lt;=100,B14&gt;0,B15+B16&lt;=100),B14*(1-(B15+B16)/100),"입력 확인"),"입력 확인")</f>
        <v>24000</v>
      </c>
      <c r="C6" s="1"/>
      <c r="D6" s="25" t="s">
        <v>56</v>
      </c>
    </row>
    <row r="7" spans="1:4" ht="45" customHeight="1">
      <c r="A7" s="20" t="s">
        <v>131</v>
      </c>
      <c r="B7" s="21">
        <f>IFERROR(IF(AND(COUNT(B14:B16)=3,MIN(B14:B16)&gt;=0,B15&lt;=100,B16&lt;=100,B14&gt;0,B15+B16&lt;=100),(1-(1-B15/100)*(1-B16/100))*100,"입력 확인"),"입력 확인")</f>
        <v>18.999999999999993</v>
      </c>
      <c r="C7" s="1"/>
      <c r="D7" s="25" t="s">
        <v>57</v>
      </c>
    </row>
    <row r="8" spans="1:4" ht="28.95" customHeight="1">
      <c r="A8" s="1"/>
      <c r="B8" s="1"/>
      <c r="C8" s="1"/>
      <c r="D8" s="25" t="s">
        <v>58</v>
      </c>
    </row>
    <row r="9" spans="1:4" ht="28.95" customHeight="1">
      <c r="A9" s="1"/>
      <c r="B9" s="1"/>
      <c r="C9" s="1"/>
      <c r="D9" s="1"/>
    </row>
    <row r="10" spans="1:4" ht="28.95" customHeight="1">
      <c r="A10" s="1"/>
      <c r="B10" s="1"/>
      <c r="C10" s="1"/>
      <c r="D10" s="1"/>
    </row>
    <row r="11" spans="1:4" ht="28.95" customHeight="1">
      <c r="A11" s="1"/>
      <c r="B11" s="1"/>
      <c r="C11" s="1"/>
      <c r="D11" s="19" t="s">
        <v>132</v>
      </c>
    </row>
    <row r="12" spans="1:4" ht="28.95" customHeight="1">
      <c r="A12" s="1"/>
      <c r="B12" s="1"/>
      <c r="C12" s="1"/>
      <c r="D12" s="19" t="s">
        <v>133</v>
      </c>
    </row>
    <row r="13" spans="1:4" ht="28.95" customHeight="1">
      <c r="A13" s="2" t="s">
        <v>61</v>
      </c>
      <c r="B13" s="2" t="s">
        <v>62</v>
      </c>
      <c r="C13" s="1"/>
      <c r="D13" s="19" t="e">
        <v>#NAME?</v>
      </c>
    </row>
    <row r="14" spans="1:4" ht="37.049999999999997" customHeight="1">
      <c r="A14" s="1" t="s">
        <v>134</v>
      </c>
      <c r="B14" s="23">
        <v>30000</v>
      </c>
      <c r="C14" s="1"/>
      <c r="D14" s="19" t="s">
        <v>135</v>
      </c>
    </row>
    <row r="15" spans="1:4" ht="37.049999999999997" customHeight="1">
      <c r="A15" s="1" t="s">
        <v>136</v>
      </c>
      <c r="B15" s="24">
        <v>10</v>
      </c>
      <c r="C15" s="1"/>
      <c r="D15" s="19" t="s">
        <v>137</v>
      </c>
    </row>
    <row r="16" spans="1:4" ht="37.049999999999997" customHeight="1">
      <c r="A16" s="1" t="s">
        <v>138</v>
      </c>
      <c r="B16" s="24">
        <v>10</v>
      </c>
      <c r="C16" s="1"/>
      <c r="D16" s="19"/>
    </row>
    <row r="17" spans="1:4" ht="28.95" customHeight="1">
      <c r="A17" s="1"/>
      <c r="B17" s="1"/>
      <c r="C17" s="1"/>
      <c r="D17" s="19"/>
    </row>
    <row r="18" spans="1:4" ht="28.95" customHeight="1">
      <c r="A18" s="1"/>
      <c r="B18" s="1"/>
      <c r="C18" s="1"/>
      <c r="D18" s="19"/>
    </row>
    <row r="19" spans="1:4" ht="28.95" customHeight="1">
      <c r="A19" s="1"/>
      <c r="B19" s="1"/>
      <c r="C19" s="1"/>
      <c r="D19" s="19"/>
    </row>
    <row r="20" spans="1:4" ht="28.95" customHeight="1">
      <c r="A20" s="1"/>
      <c r="B20" s="1"/>
      <c r="C20" s="1"/>
      <c r="D20" s="17" t="s">
        <v>68</v>
      </c>
    </row>
    <row r="21" spans="1:4" ht="28.95" customHeight="1">
      <c r="A21" s="1"/>
      <c r="B21" s="1"/>
      <c r="C21" s="1"/>
      <c r="D21" s="1"/>
    </row>
    <row r="22" spans="1:4" ht="28.95" customHeight="1">
      <c r="A22" s="1"/>
      <c r="B22" s="1"/>
      <c r="C22" s="1"/>
      <c r="D22" s="1"/>
    </row>
    <row r="23" spans="1:4" ht="28.95" customHeight="1">
      <c r="A23" s="1"/>
      <c r="B23" s="1"/>
      <c r="C23" s="1"/>
      <c r="D23" s="10" t="s">
        <v>69</v>
      </c>
    </row>
    <row r="24" spans="1:4" ht="28.95" customHeight="1">
      <c r="A24" s="1"/>
      <c r="B24" s="1"/>
      <c r="C24" s="1"/>
      <c r="D24" s="1"/>
    </row>
    <row r="25" spans="1:4" ht="28.95" customHeight="1">
      <c r="A25" s="1"/>
      <c r="B25" s="1"/>
      <c r="C25" s="1"/>
      <c r="D25" s="1"/>
    </row>
    <row r="26" spans="1:4" ht="25.95" customHeight="1">
      <c r="A26" s="1"/>
      <c r="B26" s="1"/>
      <c r="C26" s="1"/>
      <c r="D26" s="1"/>
    </row>
    <row r="27" spans="1:4" ht="25.95" customHeight="1">
      <c r="A27" s="1"/>
      <c r="B27" s="1"/>
      <c r="C27" s="1"/>
      <c r="D27" s="1"/>
    </row>
  </sheetData>
  <phoneticPr fontId="17" type="noConversion"/>
  <conditionalFormatting sqref="B5:B7">
    <cfRule type="expression" dxfId="24" priority="1">
      <formula>AND(ISNUMBER(B5),B5&lt;0)</formula>
    </cfRule>
    <cfRule type="expression" dxfId="23" priority="2">
      <formula>ISTEXT(B5)</formula>
    </cfRule>
  </conditionalFormatting>
  <dataValidations count="2">
    <dataValidation type="decimal" sqref="B14" xr:uid="{00000000-0002-0000-0700-000000000000}">
      <formula1>0</formula1>
      <formula2>1000000000000</formula2>
    </dataValidation>
    <dataValidation type="decimal" sqref="B15:B16" xr:uid="{00000000-0002-0000-0700-000001000000}">
      <formula1>0</formula1>
      <formula2>100</formula2>
    </dataValidation>
  </dataValidations>
  <hyperlinks>
    <hyperlink ref="D23" location="'시작'!A1" display="← 계산 스튜디오로 돌아가기" xr:uid="{00000000-0004-0000-0700-000000000000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216B60"/>
  </sheetPr>
  <dimension ref="A1:D27"/>
  <sheetViews>
    <sheetView showGridLines="0" workbookViewId="0"/>
  </sheetViews>
  <sheetFormatPr defaultRowHeight="13.8"/>
  <cols>
    <col min="1" max="1" width="43" customWidth="1"/>
    <col min="2" max="2" width="26" customWidth="1"/>
    <col min="3" max="3" width="5" customWidth="1"/>
    <col min="4" max="4" width="49" customWidth="1"/>
  </cols>
  <sheetData>
    <row r="1" spans="1:4" ht="28.95" customHeight="1">
      <c r="A1" s="1"/>
      <c r="B1" s="1"/>
      <c r="C1" s="1"/>
      <c r="D1" s="1"/>
    </row>
    <row r="2" spans="1:4" ht="46.05" customHeight="1">
      <c r="A2" s="18" t="s">
        <v>139</v>
      </c>
      <c r="B2" s="8"/>
      <c r="C2" s="1"/>
      <c r="D2" s="19" t="s">
        <v>49</v>
      </c>
    </row>
    <row r="3" spans="1:4" ht="28.95" customHeight="1">
      <c r="A3" s="1"/>
      <c r="B3" s="1"/>
      <c r="C3" s="1"/>
      <c r="D3" s="1"/>
    </row>
    <row r="4" spans="1:4" ht="28.95" customHeight="1">
      <c r="A4" s="2" t="s">
        <v>50</v>
      </c>
      <c r="B4" s="2" t="s">
        <v>51</v>
      </c>
      <c r="C4" s="1"/>
      <c r="D4" s="26" t="s">
        <v>52</v>
      </c>
    </row>
    <row r="5" spans="1:4" ht="45" customHeight="1">
      <c r="A5" s="20" t="s">
        <v>140</v>
      </c>
      <c r="B5" s="22">
        <f>IFERROR(IF(AND(COUNT(B14:B16)=3,MIN(B14:B16)&gt;=0),B14-B15,"입력 확인"),"입력 확인")</f>
        <v>-200000</v>
      </c>
      <c r="C5" s="1"/>
      <c r="D5" s="25" t="s">
        <v>54</v>
      </c>
    </row>
    <row r="6" spans="1:4" ht="45" customHeight="1">
      <c r="A6" s="20" t="s">
        <v>141</v>
      </c>
      <c r="B6" s="22">
        <f>IFERROR(IF(AND(COUNT(B14:B16)=3,MIN(B14:B16)&gt;=0),MAX(0,B15-B14),"입력 확인"),"입력 확인")</f>
        <v>200000</v>
      </c>
      <c r="C6" s="1"/>
      <c r="D6" s="25" t="s">
        <v>56</v>
      </c>
    </row>
    <row r="7" spans="1:4" ht="45" customHeight="1">
      <c r="A7" s="20" t="s">
        <v>142</v>
      </c>
      <c r="B7" s="22">
        <f>IFERROR(IF(AND(COUNT(B14:B16)=3,MIN(B14:B16)&gt;=0),B14-B15+B16,"입력 확인"),"입력 확인")</f>
        <v>1800000</v>
      </c>
      <c r="C7" s="1"/>
      <c r="D7" s="25" t="s">
        <v>57</v>
      </c>
    </row>
    <row r="8" spans="1:4" ht="28.95" customHeight="1">
      <c r="A8" s="1"/>
      <c r="B8" s="1"/>
      <c r="C8" s="1"/>
      <c r="D8" s="25" t="s">
        <v>58</v>
      </c>
    </row>
    <row r="9" spans="1:4" ht="28.95" customHeight="1">
      <c r="A9" s="1"/>
      <c r="B9" s="1"/>
      <c r="C9" s="1"/>
      <c r="D9" s="1"/>
    </row>
    <row r="10" spans="1:4" ht="28.95" customHeight="1">
      <c r="A10" s="1"/>
      <c r="B10" s="1"/>
      <c r="C10" s="1"/>
      <c r="D10" s="1"/>
    </row>
    <row r="11" spans="1:4" ht="28.95" customHeight="1">
      <c r="A11" s="1"/>
      <c r="B11" s="1"/>
      <c r="C11" s="1"/>
      <c r="D11" s="19" t="s">
        <v>143</v>
      </c>
    </row>
    <row r="12" spans="1:4" ht="28.95" customHeight="1">
      <c r="A12" s="1"/>
      <c r="B12" s="1"/>
      <c r="C12" s="1"/>
      <c r="D12" s="19" t="e">
        <f>중간잔액+정산. 입금 전에 지출하는 한</f>
        <v>#NAME?</v>
      </c>
    </row>
    <row r="13" spans="1:4" ht="28.95" customHeight="1">
      <c r="A13" s="2" t="s">
        <v>61</v>
      </c>
      <c r="B13" s="2" t="s">
        <v>62</v>
      </c>
      <c r="C13" s="1"/>
      <c r="D13" s="19" t="s">
        <v>144</v>
      </c>
    </row>
    <row r="14" spans="1:4" ht="37.049999999999997" customHeight="1">
      <c r="A14" s="1" t="s">
        <v>145</v>
      </c>
      <c r="B14" s="23">
        <v>1000000</v>
      </c>
      <c r="C14" s="1"/>
      <c r="D14" s="19" t="s">
        <v>77</v>
      </c>
    </row>
    <row r="15" spans="1:4" ht="37.049999999999997" customHeight="1">
      <c r="A15" s="1" t="s">
        <v>146</v>
      </c>
      <c r="B15" s="23">
        <v>1200000</v>
      </c>
      <c r="C15" s="1"/>
      <c r="D15" s="19"/>
    </row>
    <row r="16" spans="1:4" ht="37.049999999999997" customHeight="1">
      <c r="A16" s="1" t="s">
        <v>147</v>
      </c>
      <c r="B16" s="23">
        <v>2000000</v>
      </c>
      <c r="C16" s="1"/>
      <c r="D16" s="19"/>
    </row>
    <row r="17" spans="1:4" ht="28.95" customHeight="1">
      <c r="A17" s="1"/>
      <c r="B17" s="1"/>
      <c r="C17" s="1"/>
      <c r="D17" s="19"/>
    </row>
    <row r="18" spans="1:4" ht="28.95" customHeight="1">
      <c r="A18" s="1"/>
      <c r="B18" s="1"/>
      <c r="C18" s="1"/>
      <c r="D18" s="19"/>
    </row>
    <row r="19" spans="1:4" ht="28.95" customHeight="1">
      <c r="A19" s="1"/>
      <c r="B19" s="1"/>
      <c r="C19" s="1"/>
      <c r="D19" s="19"/>
    </row>
    <row r="20" spans="1:4" ht="28.95" customHeight="1">
      <c r="A20" s="1"/>
      <c r="B20" s="1"/>
      <c r="C20" s="1"/>
      <c r="D20" s="17" t="s">
        <v>68</v>
      </c>
    </row>
    <row r="21" spans="1:4" ht="28.95" customHeight="1">
      <c r="A21" s="1"/>
      <c r="B21" s="1"/>
      <c r="C21" s="1"/>
      <c r="D21" s="1"/>
    </row>
    <row r="22" spans="1:4" ht="28.95" customHeight="1">
      <c r="A22" s="1"/>
      <c r="B22" s="1"/>
      <c r="C22" s="1"/>
      <c r="D22" s="1"/>
    </row>
    <row r="23" spans="1:4" ht="28.95" customHeight="1">
      <c r="A23" s="1"/>
      <c r="B23" s="1"/>
      <c r="C23" s="1"/>
      <c r="D23" s="10" t="s">
        <v>69</v>
      </c>
    </row>
    <row r="24" spans="1:4" ht="28.95" customHeight="1">
      <c r="A24" s="1"/>
      <c r="B24" s="1"/>
      <c r="C24" s="1"/>
      <c r="D24" s="1"/>
    </row>
    <row r="25" spans="1:4" ht="28.95" customHeight="1">
      <c r="A25" s="1"/>
      <c r="B25" s="1"/>
      <c r="C25" s="1"/>
      <c r="D25" s="1"/>
    </row>
    <row r="26" spans="1:4" ht="25.95" customHeight="1">
      <c r="A26" s="1"/>
      <c r="B26" s="1"/>
      <c r="C26" s="1"/>
      <c r="D26" s="1"/>
    </row>
    <row r="27" spans="1:4" ht="25.95" customHeight="1">
      <c r="A27" s="1"/>
      <c r="B27" s="1"/>
      <c r="C27" s="1"/>
      <c r="D27" s="1"/>
    </row>
  </sheetData>
  <phoneticPr fontId="17" type="noConversion"/>
  <conditionalFormatting sqref="B5:B7">
    <cfRule type="expression" dxfId="22" priority="1">
      <formula>AND(ISNUMBER(B5),B5&lt;0)</formula>
    </cfRule>
    <cfRule type="expression" dxfId="21" priority="2">
      <formula>ISTEXT(B5)</formula>
    </cfRule>
  </conditionalFormatting>
  <dataValidations count="1">
    <dataValidation type="decimal" sqref="B14:B16" xr:uid="{00000000-0002-0000-0800-000000000000}">
      <formula1>0</formula1>
      <formula2>1000000000000</formula2>
    </dataValidation>
  </dataValidations>
  <hyperlinks>
    <hyperlink ref="D23" location="'시작'!A1" display="← 계산 스튜디오로 돌아가기" xr:uid="{00000000-0004-0000-0800-000000000000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216B60"/>
  </sheetPr>
  <dimension ref="A1:D27"/>
  <sheetViews>
    <sheetView showGridLines="0" workbookViewId="0"/>
  </sheetViews>
  <sheetFormatPr defaultRowHeight="13.8"/>
  <cols>
    <col min="1" max="1" width="43" customWidth="1"/>
    <col min="2" max="2" width="26" customWidth="1"/>
    <col min="3" max="3" width="5" customWidth="1"/>
    <col min="4" max="4" width="49" customWidth="1"/>
  </cols>
  <sheetData>
    <row r="1" spans="1:4" ht="28.95" customHeight="1">
      <c r="A1" s="1"/>
      <c r="B1" s="1"/>
      <c r="C1" s="1"/>
      <c r="D1" s="1"/>
    </row>
    <row r="2" spans="1:4" ht="46.05" customHeight="1">
      <c r="A2" s="18" t="s">
        <v>148</v>
      </c>
      <c r="B2" s="8"/>
      <c r="C2" s="1"/>
      <c r="D2" s="19" t="s">
        <v>49</v>
      </c>
    </row>
    <row r="3" spans="1:4" ht="28.95" customHeight="1">
      <c r="A3" s="1"/>
      <c r="B3" s="1"/>
      <c r="C3" s="1"/>
      <c r="D3" s="1"/>
    </row>
    <row r="4" spans="1:4" ht="28.95" customHeight="1">
      <c r="A4" s="2" t="s">
        <v>50</v>
      </c>
      <c r="B4" s="2" t="s">
        <v>51</v>
      </c>
      <c r="C4" s="1"/>
      <c r="D4" s="26" t="s">
        <v>52</v>
      </c>
    </row>
    <row r="5" spans="1:4" ht="45" customHeight="1">
      <c r="A5" s="20" t="s">
        <v>149</v>
      </c>
      <c r="B5" s="22">
        <f>IFERROR(IF(AND(COUNT(B14:B17)=4,MIN(B14:B17)&gt;=0,MOD(B14,1)=0,MOD(B15,1)=0,MOD(B17,1)=0,B14&gt;0,B15&lt;=B14),(B14-B15)*B16-B15*B17,"입력 확인"),"입력 확인")</f>
        <v>889000</v>
      </c>
      <c r="C5" s="1"/>
      <c r="D5" s="25" t="s">
        <v>54</v>
      </c>
    </row>
    <row r="6" spans="1:4" ht="45" customHeight="1">
      <c r="A6" s="20" t="s">
        <v>150</v>
      </c>
      <c r="B6" s="22">
        <f>IFERROR(IF(AND(COUNT(B14:B17)=4,MIN(B14:B17)&gt;=0,MOD(B14,1)=0,MOD(B15,1)=0,MOD(B17,1)=0,B14&gt;0,B15&lt;=B14),B14*B16-B5,"입력 확인"),"입력 확인")</f>
        <v>81000</v>
      </c>
      <c r="C6" s="1"/>
      <c r="D6" s="25" t="s">
        <v>56</v>
      </c>
    </row>
    <row r="7" spans="1:4" ht="45" customHeight="1">
      <c r="A7" s="20" t="s">
        <v>151</v>
      </c>
      <c r="B7" s="21">
        <f>IFERROR(IF(AND(COUNT(B14:B17)=4,MIN(B14:B17)&gt;=0,MOD(B14,1)=0,MOD(B15,1)=0,MOD(B17,1)=0,B14&gt;0,B15&lt;=B14),B15/B14*100,"입력 확인"),"입력 확인")</f>
        <v>5</v>
      </c>
      <c r="C7" s="1"/>
      <c r="D7" s="25" t="s">
        <v>57</v>
      </c>
    </row>
    <row r="8" spans="1:4" ht="28.95" customHeight="1">
      <c r="A8" s="1"/>
      <c r="B8" s="1"/>
      <c r="C8" s="1"/>
      <c r="D8" s="25" t="s">
        <v>58</v>
      </c>
    </row>
    <row r="9" spans="1:4" ht="28.95" customHeight="1">
      <c r="A9" s="1"/>
      <c r="B9" s="1"/>
      <c r="C9" s="1"/>
      <c r="D9" s="1"/>
    </row>
    <row r="10" spans="1:4" ht="28.95" customHeight="1">
      <c r="A10" s="1"/>
      <c r="B10" s="1"/>
      <c r="C10" s="1"/>
      <c r="D10" s="1"/>
    </row>
    <row r="11" spans="1:4" ht="28.95" customHeight="1">
      <c r="A11" s="1"/>
      <c r="B11" s="1"/>
      <c r="C11" s="1"/>
      <c r="D11" s="19" t="s">
        <v>152</v>
      </c>
    </row>
    <row r="12" spans="1:4" ht="28.95" customHeight="1">
      <c r="A12" s="1"/>
      <c r="B12" s="1"/>
      <c r="C12" s="1"/>
      <c r="D12" s="19" t="s">
        <v>153</v>
      </c>
    </row>
    <row r="13" spans="1:4" ht="28.95" customHeight="1">
      <c r="A13" s="2" t="s">
        <v>61</v>
      </c>
      <c r="B13" s="2" t="s">
        <v>62</v>
      </c>
      <c r="C13" s="1"/>
      <c r="D13" s="19" t="s">
        <v>154</v>
      </c>
    </row>
    <row r="14" spans="1:4" ht="37.049999999999997" customHeight="1">
      <c r="A14" s="1" t="s">
        <v>155</v>
      </c>
      <c r="B14" s="23">
        <v>100</v>
      </c>
      <c r="C14" s="1"/>
      <c r="D14" s="19" t="s">
        <v>156</v>
      </c>
    </row>
    <row r="15" spans="1:4" ht="37.049999999999997" customHeight="1">
      <c r="A15" s="1" t="s">
        <v>157</v>
      </c>
      <c r="B15" s="23">
        <v>5</v>
      </c>
      <c r="C15" s="1"/>
      <c r="D15" s="19" t="s">
        <v>158</v>
      </c>
    </row>
    <row r="16" spans="1:4" ht="37.049999999999997" customHeight="1">
      <c r="A16" s="1" t="s">
        <v>159</v>
      </c>
      <c r="B16" s="23">
        <v>9700</v>
      </c>
      <c r="C16" s="1"/>
      <c r="D16" s="19"/>
    </row>
    <row r="17" spans="1:4" ht="37.049999999999997" customHeight="1">
      <c r="A17" s="1" t="s">
        <v>160</v>
      </c>
      <c r="B17" s="23">
        <v>6500</v>
      </c>
      <c r="C17" s="1"/>
      <c r="D17" s="19"/>
    </row>
    <row r="18" spans="1:4" ht="28.95" customHeight="1">
      <c r="A18" s="1"/>
      <c r="B18" s="1"/>
      <c r="C18" s="1"/>
      <c r="D18" s="19"/>
    </row>
    <row r="19" spans="1:4" ht="28.95" customHeight="1">
      <c r="A19" s="1"/>
      <c r="B19" s="1"/>
      <c r="C19" s="1"/>
      <c r="D19" s="19"/>
    </row>
    <row r="20" spans="1:4" ht="28.95" customHeight="1">
      <c r="A20" s="1"/>
      <c r="B20" s="1"/>
      <c r="C20" s="1"/>
      <c r="D20" s="17" t="s">
        <v>68</v>
      </c>
    </row>
    <row r="21" spans="1:4" ht="28.95" customHeight="1">
      <c r="A21" s="1"/>
      <c r="B21" s="1"/>
      <c r="C21" s="1"/>
      <c r="D21" s="1"/>
    </row>
    <row r="22" spans="1:4" ht="28.95" customHeight="1">
      <c r="A22" s="1"/>
      <c r="B22" s="1"/>
      <c r="C22" s="1"/>
      <c r="D22" s="1"/>
    </row>
    <row r="23" spans="1:4" ht="28.95" customHeight="1">
      <c r="A23" s="1"/>
      <c r="B23" s="1"/>
      <c r="C23" s="1"/>
      <c r="D23" s="10" t="s">
        <v>69</v>
      </c>
    </row>
    <row r="24" spans="1:4" ht="28.95" customHeight="1">
      <c r="A24" s="1"/>
      <c r="B24" s="1"/>
      <c r="C24" s="1"/>
      <c r="D24" s="1"/>
    </row>
    <row r="25" spans="1:4" ht="28.95" customHeight="1">
      <c r="A25" s="1"/>
      <c r="B25" s="1"/>
      <c r="C25" s="1"/>
      <c r="D25" s="1"/>
    </row>
    <row r="26" spans="1:4" ht="25.95" customHeight="1">
      <c r="A26" s="1"/>
      <c r="B26" s="1"/>
      <c r="C26" s="1"/>
      <c r="D26" s="1"/>
    </row>
    <row r="27" spans="1:4" ht="25.95" customHeight="1">
      <c r="A27" s="1"/>
      <c r="B27" s="1"/>
      <c r="C27" s="1"/>
      <c r="D27" s="1"/>
    </row>
  </sheetData>
  <phoneticPr fontId="17" type="noConversion"/>
  <conditionalFormatting sqref="B5:B7">
    <cfRule type="expression" dxfId="20" priority="1">
      <formula>AND(ISNUMBER(B5),B5&lt;0)</formula>
    </cfRule>
    <cfRule type="expression" dxfId="19" priority="2">
      <formula>ISTEXT(B5)</formula>
    </cfRule>
  </conditionalFormatting>
  <dataValidations count="1">
    <dataValidation type="decimal" sqref="B14:B17" xr:uid="{00000000-0002-0000-0900-000000000000}">
      <formula1>0</formula1>
      <formula2>1000000000000</formula2>
    </dataValidation>
  </dataValidations>
  <hyperlinks>
    <hyperlink ref="D23" location="'시작'!A1" display="← 계산 스튜디오로 돌아가기" xr:uid="{00000000-0004-0000-0900-000000000000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216B60"/>
  </sheetPr>
  <dimension ref="A1:D27"/>
  <sheetViews>
    <sheetView showGridLines="0" workbookViewId="0"/>
  </sheetViews>
  <sheetFormatPr defaultRowHeight="13.8"/>
  <cols>
    <col min="1" max="1" width="43" customWidth="1"/>
    <col min="2" max="2" width="26" customWidth="1"/>
    <col min="3" max="3" width="5" customWidth="1"/>
    <col min="4" max="4" width="49" customWidth="1"/>
  </cols>
  <sheetData>
    <row r="1" spans="1:4" ht="28.95" customHeight="1">
      <c r="A1" s="1"/>
      <c r="B1" s="1"/>
      <c r="C1" s="1"/>
      <c r="D1" s="1"/>
    </row>
    <row r="2" spans="1:4" ht="46.05" customHeight="1">
      <c r="A2" s="18" t="s">
        <v>161</v>
      </c>
      <c r="B2" s="8"/>
      <c r="C2" s="1"/>
      <c r="D2" s="19" t="s">
        <v>49</v>
      </c>
    </row>
    <row r="3" spans="1:4" ht="28.95" customHeight="1">
      <c r="A3" s="1"/>
      <c r="B3" s="1"/>
      <c r="C3" s="1"/>
      <c r="D3" s="1"/>
    </row>
    <row r="4" spans="1:4" ht="28.95" customHeight="1">
      <c r="A4" s="2" t="s">
        <v>50</v>
      </c>
      <c r="B4" s="2" t="s">
        <v>51</v>
      </c>
      <c r="C4" s="1"/>
      <c r="D4" s="26" t="s">
        <v>52</v>
      </c>
    </row>
    <row r="5" spans="1:4" ht="45" customHeight="1">
      <c r="A5" s="20" t="s">
        <v>162</v>
      </c>
      <c r="B5" s="22">
        <f>IFERROR(IF(AND(COUNT(B14:B16)=3,MIN(B14:B16)&gt;=0,MOD(B14,1)=0,MOD(B15,1)=0,B16&lt;=100),B14*B15,"입력 확인"),"입력 확인")</f>
        <v>100000</v>
      </c>
      <c r="C5" s="1"/>
      <c r="D5" s="25" t="s">
        <v>54</v>
      </c>
    </row>
    <row r="6" spans="1:4" ht="45" customHeight="1">
      <c r="A6" s="20" t="s">
        <v>163</v>
      </c>
      <c r="B6" s="22">
        <f>IFERROR(IF(AND(COUNT(B14:B16)=3,MIN(B14:B16)&gt;=0,MOD(B14,1)=0,MOD(B15,1)=0,B16&lt;=100),B5*B16/100,"입력 확인"),"입력 확인")</f>
        <v>60000</v>
      </c>
      <c r="C6" s="1"/>
      <c r="D6" s="25" t="s">
        <v>56</v>
      </c>
    </row>
    <row r="7" spans="1:4" ht="45" customHeight="1">
      <c r="A7" s="20" t="s">
        <v>164</v>
      </c>
      <c r="B7" s="22">
        <f>IFERROR(IF(AND(COUNT(B14:B16)=3,MIN(B14:B16)&gt;=0,MOD(B14,1)=0,MOD(B15,1)=0,B16&lt;=100),B5*(1-B16/100),"입력 확인"),"입력 확인")</f>
        <v>40000</v>
      </c>
      <c r="C7" s="1"/>
      <c r="D7" s="25" t="s">
        <v>57</v>
      </c>
    </row>
    <row r="8" spans="1:4" ht="28.95" customHeight="1">
      <c r="A8" s="1"/>
      <c r="B8" s="1"/>
      <c r="C8" s="1"/>
      <c r="D8" s="25" t="s">
        <v>58</v>
      </c>
    </row>
    <row r="9" spans="1:4" ht="28.95" customHeight="1">
      <c r="A9" s="1"/>
      <c r="B9" s="1"/>
      <c r="C9" s="1"/>
      <c r="D9" s="1"/>
    </row>
    <row r="10" spans="1:4" ht="28.95" customHeight="1">
      <c r="A10" s="1"/>
      <c r="B10" s="1"/>
      <c r="C10" s="1"/>
      <c r="D10" s="1"/>
    </row>
    <row r="11" spans="1:4" ht="28.95" customHeight="1">
      <c r="A11" s="1"/>
      <c r="B11" s="1"/>
      <c r="C11" s="1"/>
      <c r="D11" s="19" t="s">
        <v>165</v>
      </c>
    </row>
    <row r="12" spans="1:4" ht="28.95" customHeight="1">
      <c r="A12" s="1"/>
      <c r="B12" s="1"/>
      <c r="C12" s="1"/>
      <c r="D12" s="19" t="s">
        <v>166</v>
      </c>
    </row>
    <row r="13" spans="1:4" ht="28.95" customHeight="1">
      <c r="A13" s="2" t="s">
        <v>61</v>
      </c>
      <c r="B13" s="2" t="s">
        <v>62</v>
      </c>
      <c r="C13" s="1"/>
      <c r="D13" s="19" t="s">
        <v>167</v>
      </c>
    </row>
    <row r="14" spans="1:4" ht="37.049999999999997" customHeight="1">
      <c r="A14" s="1" t="s">
        <v>168</v>
      </c>
      <c r="B14" s="23">
        <v>100</v>
      </c>
      <c r="C14" s="1"/>
      <c r="D14" s="19" t="s">
        <v>169</v>
      </c>
    </row>
    <row r="15" spans="1:4" ht="37.049999999999997" customHeight="1">
      <c r="A15" s="1" t="s">
        <v>170</v>
      </c>
      <c r="B15" s="23">
        <v>1000</v>
      </c>
      <c r="C15" s="1"/>
      <c r="D15" s="19"/>
    </row>
    <row r="16" spans="1:4" ht="37.049999999999997" customHeight="1">
      <c r="A16" s="1" t="s">
        <v>171</v>
      </c>
      <c r="B16" s="24">
        <v>60</v>
      </c>
      <c r="C16" s="1"/>
      <c r="D16" s="19"/>
    </row>
    <row r="17" spans="1:4" ht="28.95" customHeight="1">
      <c r="A17" s="1"/>
      <c r="B17" s="1"/>
      <c r="C17" s="1"/>
      <c r="D17" s="19"/>
    </row>
    <row r="18" spans="1:4" ht="28.95" customHeight="1">
      <c r="A18" s="1"/>
      <c r="B18" s="1"/>
      <c r="C18" s="1"/>
      <c r="D18" s="19"/>
    </row>
    <row r="19" spans="1:4" ht="28.95" customHeight="1">
      <c r="A19" s="1"/>
      <c r="B19" s="1"/>
      <c r="C19" s="1"/>
      <c r="D19" s="19"/>
    </row>
    <row r="20" spans="1:4" ht="28.95" customHeight="1">
      <c r="A20" s="1"/>
      <c r="B20" s="1"/>
      <c r="C20" s="1"/>
      <c r="D20" s="17" t="s">
        <v>68</v>
      </c>
    </row>
    <row r="21" spans="1:4" ht="28.95" customHeight="1">
      <c r="A21" s="1"/>
      <c r="B21" s="1"/>
      <c r="C21" s="1"/>
      <c r="D21" s="1"/>
    </row>
    <row r="22" spans="1:4" ht="28.95" customHeight="1">
      <c r="A22" s="1"/>
      <c r="B22" s="1"/>
      <c r="C22" s="1"/>
      <c r="D22" s="1"/>
    </row>
    <row r="23" spans="1:4" ht="28.95" customHeight="1">
      <c r="A23" s="1"/>
      <c r="B23" s="1"/>
      <c r="C23" s="1"/>
      <c r="D23" s="10" t="s">
        <v>69</v>
      </c>
    </row>
    <row r="24" spans="1:4" ht="28.95" customHeight="1">
      <c r="A24" s="1"/>
      <c r="B24" s="1"/>
      <c r="C24" s="1"/>
      <c r="D24" s="1"/>
    </row>
    <row r="25" spans="1:4" ht="28.95" customHeight="1">
      <c r="A25" s="1"/>
      <c r="B25" s="1"/>
      <c r="C25" s="1"/>
      <c r="D25" s="1"/>
    </row>
    <row r="26" spans="1:4" ht="25.95" customHeight="1">
      <c r="A26" s="1"/>
      <c r="B26" s="1"/>
      <c r="C26" s="1"/>
      <c r="D26" s="1"/>
    </row>
    <row r="27" spans="1:4" ht="25.95" customHeight="1">
      <c r="A27" s="1"/>
      <c r="B27" s="1"/>
      <c r="C27" s="1"/>
      <c r="D27" s="1"/>
    </row>
  </sheetData>
  <phoneticPr fontId="17" type="noConversion"/>
  <conditionalFormatting sqref="B5:B7">
    <cfRule type="expression" dxfId="18" priority="1">
      <formula>AND(ISNUMBER(B5),B5&lt;0)</formula>
    </cfRule>
    <cfRule type="expression" dxfId="17" priority="2">
      <formula>ISTEXT(B5)</formula>
    </cfRule>
  </conditionalFormatting>
  <dataValidations count="2">
    <dataValidation type="decimal" sqref="B14:B15" xr:uid="{00000000-0002-0000-0A00-000000000000}">
      <formula1>0</formula1>
      <formula2>1000000000000</formula2>
    </dataValidation>
    <dataValidation type="decimal" sqref="B16" xr:uid="{00000000-0002-0000-0A00-000002000000}">
      <formula1>0</formula1>
      <formula2>100</formula2>
    </dataValidation>
  </dataValidations>
  <hyperlinks>
    <hyperlink ref="D23" location="'시작'!A1" display="← 계산 스튜디오로 돌아가기" xr:uid="{00000000-0004-0000-0A00-000000000000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216B60"/>
  </sheetPr>
  <dimension ref="A1:D27"/>
  <sheetViews>
    <sheetView showGridLines="0" workbookViewId="0"/>
  </sheetViews>
  <sheetFormatPr defaultRowHeight="13.8"/>
  <cols>
    <col min="1" max="1" width="43" customWidth="1"/>
    <col min="2" max="2" width="26" customWidth="1"/>
    <col min="3" max="3" width="5" customWidth="1"/>
    <col min="4" max="4" width="49" customWidth="1"/>
  </cols>
  <sheetData>
    <row r="1" spans="1:4" ht="28.95" customHeight="1">
      <c r="A1" s="1"/>
      <c r="B1" s="1"/>
      <c r="C1" s="1"/>
      <c r="D1" s="1"/>
    </row>
    <row r="2" spans="1:4" ht="46.05" customHeight="1">
      <c r="A2" s="18" t="s">
        <v>172</v>
      </c>
      <c r="B2" s="8"/>
      <c r="C2" s="1"/>
      <c r="D2" s="19" t="s">
        <v>49</v>
      </c>
    </row>
    <row r="3" spans="1:4" ht="28.95" customHeight="1">
      <c r="A3" s="1"/>
      <c r="B3" s="1"/>
      <c r="C3" s="1"/>
      <c r="D3" s="1"/>
    </row>
    <row r="4" spans="1:4" ht="28.95" customHeight="1">
      <c r="A4" s="2" t="s">
        <v>50</v>
      </c>
      <c r="B4" s="2" t="s">
        <v>51</v>
      </c>
      <c r="C4" s="1"/>
      <c r="D4" s="26" t="s">
        <v>52</v>
      </c>
    </row>
    <row r="5" spans="1:4" ht="45" customHeight="1">
      <c r="A5" s="20" t="s">
        <v>173</v>
      </c>
      <c r="B5" s="21">
        <f>IFERROR(IF(AND(COUNT(B14:B17)=4,MIN(B14:B17)&gt;=0,B16&lt;=100,B14&gt;0,B17&gt;0),B14*B16/100,"입력 확인"),"입력 확인")</f>
        <v>20</v>
      </c>
      <c r="C5" s="1"/>
      <c r="D5" s="25" t="s">
        <v>54</v>
      </c>
    </row>
    <row r="6" spans="1:4" ht="45" customHeight="1">
      <c r="A6" s="20" t="s">
        <v>89</v>
      </c>
      <c r="B6" s="22">
        <f>IFERROR(IF(AND(COUNT(B14:B17)=4,MIN(B14:B17)&gt;=0,B16&lt;=100,B14&gt;0,B17&gt;0),B14*B15,"입력 확인"),"입력 확인")</f>
        <v>500000</v>
      </c>
      <c r="C6" s="1"/>
      <c r="D6" s="25" t="s">
        <v>56</v>
      </c>
    </row>
    <row r="7" spans="1:4" ht="45" customHeight="1">
      <c r="A7" s="20" t="s">
        <v>82</v>
      </c>
      <c r="B7" s="22">
        <f>IFERROR(IF(AND(COUNT(B14:B17)=4,MIN(B14:B17)&gt;=0,B16&lt;=100,B14&gt;0,B17&gt;0),B5*B17-B6,"입력 확인"),"입력 확인")</f>
        <v>100000</v>
      </c>
      <c r="C7" s="1"/>
      <c r="D7" s="25" t="s">
        <v>57</v>
      </c>
    </row>
    <row r="8" spans="1:4" ht="45" customHeight="1">
      <c r="A8" s="20" t="s">
        <v>174</v>
      </c>
      <c r="B8" s="21">
        <f>IFERROR(IF(AND(COUNT(B14:B17)=4,MIN(B14:B17)&gt;=0,B16&lt;=100,B14&gt;0,B17&gt;0),B15/B17*100,"입력 확인"),"입력 확인")</f>
        <v>1.6666666666666667</v>
      </c>
      <c r="C8" s="1"/>
      <c r="D8" s="25" t="s">
        <v>58</v>
      </c>
    </row>
    <row r="9" spans="1:4" ht="28.95" customHeight="1">
      <c r="A9" s="1"/>
      <c r="B9" s="1"/>
      <c r="C9" s="1"/>
      <c r="D9" s="1"/>
    </row>
    <row r="10" spans="1:4" ht="28.95" customHeight="1">
      <c r="A10" s="1"/>
      <c r="B10" s="1"/>
      <c r="C10" s="1"/>
      <c r="D10" s="1"/>
    </row>
    <row r="11" spans="1:4" ht="28.95" customHeight="1">
      <c r="A11" s="1"/>
      <c r="B11" s="1"/>
      <c r="C11" s="1"/>
      <c r="D11" s="19" t="s">
        <v>175</v>
      </c>
    </row>
    <row r="12" spans="1:4" ht="28.95" customHeight="1">
      <c r="A12" s="1"/>
      <c r="B12" s="1"/>
      <c r="C12" s="1"/>
      <c r="D12" s="19" t="s">
        <v>176</v>
      </c>
    </row>
    <row r="13" spans="1:4" ht="28.95" customHeight="1">
      <c r="A13" s="2" t="s">
        <v>61</v>
      </c>
      <c r="B13" s="2" t="s">
        <v>62</v>
      </c>
      <c r="C13" s="1"/>
      <c r="D13" s="19" t="s">
        <v>177</v>
      </c>
    </row>
    <row r="14" spans="1:4" ht="37.049999999999997" customHeight="1">
      <c r="A14" s="1" t="s">
        <v>178</v>
      </c>
      <c r="B14" s="23">
        <v>1000</v>
      </c>
      <c r="C14" s="1"/>
      <c r="D14" s="19" t="s">
        <v>179</v>
      </c>
    </row>
    <row r="15" spans="1:4" ht="37.049999999999997" customHeight="1">
      <c r="A15" s="1" t="s">
        <v>180</v>
      </c>
      <c r="B15" s="23">
        <v>500</v>
      </c>
      <c r="C15" s="1"/>
      <c r="D15" s="19" t="s">
        <v>181</v>
      </c>
    </row>
    <row r="16" spans="1:4" ht="37.049999999999997" customHeight="1">
      <c r="A16" s="1" t="s">
        <v>182</v>
      </c>
      <c r="B16" s="24">
        <v>2</v>
      </c>
      <c r="C16" s="1"/>
      <c r="D16" s="19"/>
    </row>
    <row r="17" spans="1:4" ht="37.049999999999997" customHeight="1">
      <c r="A17" s="1" t="s">
        <v>183</v>
      </c>
      <c r="B17" s="23">
        <v>30000</v>
      </c>
      <c r="C17" s="1"/>
      <c r="D17" s="19"/>
    </row>
    <row r="18" spans="1:4" ht="28.95" customHeight="1">
      <c r="A18" s="1"/>
      <c r="B18" s="1"/>
      <c r="C18" s="1"/>
      <c r="D18" s="19"/>
    </row>
    <row r="19" spans="1:4" ht="28.95" customHeight="1">
      <c r="A19" s="1"/>
      <c r="B19" s="1"/>
      <c r="C19" s="1"/>
      <c r="D19" s="19"/>
    </row>
    <row r="20" spans="1:4" ht="28.95" customHeight="1">
      <c r="A20" s="1"/>
      <c r="B20" s="1"/>
      <c r="C20" s="1"/>
      <c r="D20" s="17" t="s">
        <v>68</v>
      </c>
    </row>
    <row r="21" spans="1:4" ht="28.95" customHeight="1">
      <c r="A21" s="1"/>
      <c r="B21" s="1"/>
      <c r="C21" s="1"/>
      <c r="D21" s="1"/>
    </row>
    <row r="22" spans="1:4" ht="28.95" customHeight="1">
      <c r="A22" s="1"/>
      <c r="B22" s="1"/>
      <c r="C22" s="1"/>
      <c r="D22" s="1"/>
    </row>
    <row r="23" spans="1:4" ht="28.95" customHeight="1">
      <c r="A23" s="1"/>
      <c r="B23" s="1"/>
      <c r="C23" s="1"/>
      <c r="D23" s="10" t="s">
        <v>69</v>
      </c>
    </row>
    <row r="24" spans="1:4" ht="28.95" customHeight="1">
      <c r="A24" s="1"/>
      <c r="B24" s="1"/>
      <c r="C24" s="1"/>
      <c r="D24" s="1"/>
    </row>
    <row r="25" spans="1:4" ht="28.95" customHeight="1">
      <c r="A25" s="1"/>
      <c r="B25" s="1"/>
      <c r="C25" s="1"/>
      <c r="D25" s="1"/>
    </row>
    <row r="26" spans="1:4" ht="25.95" customHeight="1">
      <c r="A26" s="1"/>
      <c r="B26" s="1"/>
      <c r="C26" s="1"/>
      <c r="D26" s="1"/>
    </row>
    <row r="27" spans="1:4" ht="25.95" customHeight="1">
      <c r="A27" s="1"/>
      <c r="B27" s="1"/>
      <c r="C27" s="1"/>
      <c r="D27" s="1"/>
    </row>
  </sheetData>
  <phoneticPr fontId="17" type="noConversion"/>
  <conditionalFormatting sqref="B5:B8">
    <cfRule type="expression" dxfId="16" priority="1">
      <formula>AND(ISNUMBER(B5),B5&lt;0)</formula>
    </cfRule>
    <cfRule type="expression" dxfId="15" priority="2">
      <formula>ISTEXT(B5)</formula>
    </cfRule>
  </conditionalFormatting>
  <dataValidations count="2">
    <dataValidation type="decimal" sqref="B17 B14:B15" xr:uid="{00000000-0002-0000-0B00-000000000000}">
      <formula1>0</formula1>
      <formula2>1000000000000</formula2>
    </dataValidation>
    <dataValidation type="decimal" sqref="B16" xr:uid="{00000000-0002-0000-0B00-000002000000}">
      <formula1>0</formula1>
      <formula2>100</formula2>
    </dataValidation>
  </dataValidations>
  <hyperlinks>
    <hyperlink ref="D23" location="'시작'!A1" display="← 계산 스튜디오로 돌아가기" xr:uid="{00000000-0004-0000-0B00-000000000000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216B60"/>
  </sheetPr>
  <dimension ref="A1:D27"/>
  <sheetViews>
    <sheetView showGridLines="0" workbookViewId="0"/>
  </sheetViews>
  <sheetFormatPr defaultRowHeight="13.8"/>
  <cols>
    <col min="1" max="1" width="43" customWidth="1"/>
    <col min="2" max="2" width="26" customWidth="1"/>
    <col min="3" max="3" width="5" customWidth="1"/>
    <col min="4" max="4" width="49" customWidth="1"/>
  </cols>
  <sheetData>
    <row r="1" spans="1:4" ht="28.95" customHeight="1">
      <c r="A1" s="1"/>
      <c r="B1" s="1"/>
      <c r="C1" s="1"/>
      <c r="D1" s="1"/>
    </row>
    <row r="2" spans="1:4" ht="46.05" customHeight="1">
      <c r="A2" s="18" t="s">
        <v>184</v>
      </c>
      <c r="B2" s="8"/>
      <c r="C2" s="1"/>
      <c r="D2" s="19" t="s">
        <v>49</v>
      </c>
    </row>
    <row r="3" spans="1:4" ht="28.95" customHeight="1">
      <c r="A3" s="1"/>
      <c r="B3" s="1"/>
      <c r="C3" s="1"/>
      <c r="D3" s="1"/>
    </row>
    <row r="4" spans="1:4" ht="28.95" customHeight="1">
      <c r="A4" s="2" t="s">
        <v>50</v>
      </c>
      <c r="B4" s="2" t="s">
        <v>51</v>
      </c>
      <c r="C4" s="1"/>
      <c r="D4" s="26" t="s">
        <v>52</v>
      </c>
    </row>
    <row r="5" spans="1:4" ht="45" customHeight="1">
      <c r="A5" s="20" t="s">
        <v>185</v>
      </c>
      <c r="B5" s="22">
        <f>IFERROR(IF(AND(COUNT(B14:B16)=3,MIN(B14:B16)&gt;=0,B15&lt;=100,B14&gt;0,B16&lt;=B14),B14*B15/100,"입력 확인"),"입력 확인")</f>
        <v>194</v>
      </c>
      <c r="C5" s="1"/>
      <c r="D5" s="25" t="s">
        <v>54</v>
      </c>
    </row>
    <row r="6" spans="1:4" ht="45" customHeight="1">
      <c r="A6" s="20" t="s">
        <v>186</v>
      </c>
      <c r="B6" s="22">
        <f>IFERROR(IF(AND(COUNT(B14:B16)=3,MIN(B14:B16)&gt;=0,B15&lt;=100,B14&gt;0,B16&lt;=B14),(B14-B16)*B15/100,"입력 확인"),"입력 확인")</f>
        <v>134</v>
      </c>
      <c r="C6" s="1"/>
      <c r="D6" s="25" t="s">
        <v>56</v>
      </c>
    </row>
    <row r="7" spans="1:4" ht="28.95" customHeight="1">
      <c r="A7" s="1"/>
      <c r="B7" s="1"/>
      <c r="C7" s="1"/>
      <c r="D7" s="25" t="s">
        <v>57</v>
      </c>
    </row>
    <row r="8" spans="1:4" ht="28.95" customHeight="1">
      <c r="A8" s="1"/>
      <c r="B8" s="1"/>
      <c r="C8" s="1"/>
      <c r="D8" s="25" t="s">
        <v>58</v>
      </c>
    </row>
    <row r="9" spans="1:4" ht="28.95" customHeight="1">
      <c r="A9" s="1"/>
      <c r="B9" s="1"/>
      <c r="C9" s="1"/>
      <c r="D9" s="1"/>
    </row>
    <row r="10" spans="1:4" ht="28.95" customHeight="1">
      <c r="A10" s="1"/>
      <c r="B10" s="1"/>
      <c r="C10" s="1"/>
      <c r="D10" s="1"/>
    </row>
    <row r="11" spans="1:4" ht="28.95" customHeight="1">
      <c r="A11" s="1"/>
      <c r="B11" s="1"/>
      <c r="C11" s="1"/>
      <c r="D11" s="19" t="s">
        <v>187</v>
      </c>
    </row>
    <row r="12" spans="1:4" ht="28.95" customHeight="1">
      <c r="A12" s="1"/>
      <c r="B12" s="1"/>
      <c r="C12" s="1"/>
      <c r="D12" s="19" t="s">
        <v>188</v>
      </c>
    </row>
    <row r="13" spans="1:4" ht="28.95" customHeight="1">
      <c r="A13" s="2" t="s">
        <v>61</v>
      </c>
      <c r="B13" s="2" t="s">
        <v>62</v>
      </c>
      <c r="C13" s="1"/>
      <c r="D13" s="19" t="s">
        <v>189</v>
      </c>
    </row>
    <row r="14" spans="1:4" ht="37.049999999999997" customHeight="1">
      <c r="A14" s="1" t="s">
        <v>183</v>
      </c>
      <c r="B14" s="23">
        <v>9700</v>
      </c>
      <c r="C14" s="1"/>
      <c r="D14" s="19" t="s">
        <v>190</v>
      </c>
    </row>
    <row r="15" spans="1:4" ht="37.049999999999997" customHeight="1">
      <c r="A15" s="1" t="s">
        <v>191</v>
      </c>
      <c r="B15" s="24">
        <v>2</v>
      </c>
      <c r="C15" s="1"/>
      <c r="D15" s="19" t="s">
        <v>192</v>
      </c>
    </row>
    <row r="16" spans="1:4" ht="37.049999999999997" customHeight="1">
      <c r="A16" s="1" t="s">
        <v>193</v>
      </c>
      <c r="B16" s="23">
        <v>3000</v>
      </c>
      <c r="C16" s="1"/>
      <c r="D16" s="19"/>
    </row>
    <row r="17" spans="1:4" ht="28.95" customHeight="1">
      <c r="A17" s="1"/>
      <c r="B17" s="1"/>
      <c r="C17" s="1"/>
      <c r="D17" s="19"/>
    </row>
    <row r="18" spans="1:4" ht="28.95" customHeight="1">
      <c r="A18" s="1"/>
      <c r="B18" s="1"/>
      <c r="C18" s="1"/>
      <c r="D18" s="19"/>
    </row>
    <row r="19" spans="1:4" ht="28.95" customHeight="1">
      <c r="A19" s="1"/>
      <c r="B19" s="1"/>
      <c r="C19" s="1"/>
      <c r="D19" s="19"/>
    </row>
    <row r="20" spans="1:4" ht="28.95" customHeight="1">
      <c r="A20" s="1"/>
      <c r="B20" s="1"/>
      <c r="C20" s="1"/>
      <c r="D20" s="17" t="s">
        <v>68</v>
      </c>
    </row>
    <row r="21" spans="1:4" ht="28.95" customHeight="1">
      <c r="A21" s="1"/>
      <c r="B21" s="1"/>
      <c r="C21" s="1"/>
      <c r="D21" s="1"/>
    </row>
    <row r="22" spans="1:4" ht="28.95" customHeight="1">
      <c r="A22" s="1"/>
      <c r="B22" s="1"/>
      <c r="C22" s="1"/>
      <c r="D22" s="1"/>
    </row>
    <row r="23" spans="1:4" ht="28.95" customHeight="1">
      <c r="A23" s="1"/>
      <c r="B23" s="1"/>
      <c r="C23" s="1"/>
      <c r="D23" s="10" t="s">
        <v>69</v>
      </c>
    </row>
    <row r="24" spans="1:4" ht="28.95" customHeight="1">
      <c r="A24" s="1"/>
      <c r="B24" s="1"/>
      <c r="C24" s="1"/>
      <c r="D24" s="1"/>
    </row>
    <row r="25" spans="1:4" ht="28.95" customHeight="1">
      <c r="A25" s="1"/>
      <c r="B25" s="1"/>
      <c r="C25" s="1"/>
      <c r="D25" s="1"/>
    </row>
    <row r="26" spans="1:4" ht="25.95" customHeight="1">
      <c r="A26" s="1"/>
      <c r="B26" s="1"/>
      <c r="C26" s="1"/>
      <c r="D26" s="1"/>
    </row>
    <row r="27" spans="1:4" ht="25.95" customHeight="1">
      <c r="A27" s="1"/>
      <c r="B27" s="1"/>
      <c r="C27" s="1"/>
      <c r="D27" s="1"/>
    </row>
  </sheetData>
  <phoneticPr fontId="17" type="noConversion"/>
  <conditionalFormatting sqref="B5:B6">
    <cfRule type="expression" dxfId="14" priority="1">
      <formula>AND(ISNUMBER(B5),B5&lt;0)</formula>
    </cfRule>
    <cfRule type="expression" dxfId="13" priority="2">
      <formula>ISTEXT(B5)</formula>
    </cfRule>
  </conditionalFormatting>
  <dataValidations count="2">
    <dataValidation type="decimal" sqref="B14 B16" xr:uid="{00000000-0002-0000-0C00-000000000000}">
      <formula1>0</formula1>
      <formula2>1000000000000</formula2>
    </dataValidation>
    <dataValidation type="decimal" sqref="B15" xr:uid="{00000000-0002-0000-0C00-000001000000}">
      <formula1>0</formula1>
      <formula2>100</formula2>
    </dataValidation>
  </dataValidations>
  <hyperlinks>
    <hyperlink ref="D23" location="'시작'!A1" display="← 계산 스튜디오로 돌아가기" xr:uid="{00000000-0004-0000-0C00-000000000000}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216B60"/>
  </sheetPr>
  <dimension ref="A1:D27"/>
  <sheetViews>
    <sheetView showGridLines="0" workbookViewId="0"/>
  </sheetViews>
  <sheetFormatPr defaultRowHeight="13.8"/>
  <cols>
    <col min="1" max="1" width="43" customWidth="1"/>
    <col min="2" max="2" width="26" customWidth="1"/>
    <col min="3" max="3" width="5" customWidth="1"/>
    <col min="4" max="4" width="49" customWidth="1"/>
  </cols>
  <sheetData>
    <row r="1" spans="1:4" ht="28.95" customHeight="1">
      <c r="A1" s="1"/>
      <c r="B1" s="1"/>
      <c r="C1" s="1"/>
      <c r="D1" s="1"/>
    </row>
    <row r="2" spans="1:4" ht="46.05" customHeight="1">
      <c r="A2" s="18" t="s">
        <v>194</v>
      </c>
      <c r="B2" s="8"/>
      <c r="C2" s="1"/>
      <c r="D2" s="19" t="s">
        <v>49</v>
      </c>
    </row>
    <row r="3" spans="1:4" ht="28.95" customHeight="1">
      <c r="A3" s="1"/>
      <c r="B3" s="1"/>
      <c r="C3" s="1"/>
      <c r="D3" s="1"/>
    </row>
    <row r="4" spans="1:4" ht="28.95" customHeight="1">
      <c r="A4" s="2" t="s">
        <v>50</v>
      </c>
      <c r="B4" s="2" t="s">
        <v>51</v>
      </c>
      <c r="C4" s="1"/>
      <c r="D4" s="26" t="s">
        <v>52</v>
      </c>
    </row>
    <row r="5" spans="1:4" ht="45" customHeight="1">
      <c r="A5" s="20" t="s">
        <v>195</v>
      </c>
      <c r="B5" s="21">
        <f>IFERROR(IF(AND(COUNT(B14:B16)=3,MIN(B14:B16)&gt;=0,MOD(B14,1)=0,MOD(B15,1)=0,MOD(B16,1)=0,B15&gt;0,B16&gt;0),B15/B16,"입력 확인"),"입력 확인")</f>
        <v>6</v>
      </c>
      <c r="C5" s="1"/>
      <c r="D5" s="25" t="s">
        <v>54</v>
      </c>
    </row>
    <row r="6" spans="1:4" ht="45" customHeight="1">
      <c r="A6" s="20" t="s">
        <v>196</v>
      </c>
      <c r="B6" s="21">
        <f>IFERROR(IF(AND(COUNT(B14:B16)=3,MIN(B14:B16)&gt;=0,MOD(B14,1)=0,MOD(B15,1)=0,MOD(B16,1)=0,B15&gt;0,B16&gt;0),B14/B5,"입력 확인"),"입력 확인")</f>
        <v>20</v>
      </c>
      <c r="C6" s="1"/>
      <c r="D6" s="25" t="s">
        <v>56</v>
      </c>
    </row>
    <row r="7" spans="1:4" ht="28.95" customHeight="1">
      <c r="A7" s="1"/>
      <c r="B7" s="1"/>
      <c r="C7" s="1"/>
      <c r="D7" s="25" t="s">
        <v>57</v>
      </c>
    </row>
    <row r="8" spans="1:4" ht="28.95" customHeight="1">
      <c r="A8" s="1"/>
      <c r="B8" s="1"/>
      <c r="C8" s="1"/>
      <c r="D8" s="25" t="s">
        <v>58</v>
      </c>
    </row>
    <row r="9" spans="1:4" ht="28.95" customHeight="1">
      <c r="A9" s="1"/>
      <c r="B9" s="1"/>
      <c r="C9" s="1"/>
      <c r="D9" s="1"/>
    </row>
    <row r="10" spans="1:4" ht="28.95" customHeight="1">
      <c r="A10" s="1"/>
      <c r="B10" s="1"/>
      <c r="C10" s="1"/>
      <c r="D10" s="1"/>
    </row>
    <row r="11" spans="1:4" ht="28.95" customHeight="1">
      <c r="A11" s="1"/>
      <c r="B11" s="1"/>
      <c r="C11" s="1"/>
      <c r="D11" s="19" t="s">
        <v>197</v>
      </c>
    </row>
    <row r="12" spans="1:4" ht="28.95" customHeight="1">
      <c r="A12" s="1"/>
      <c r="B12" s="1"/>
      <c r="C12" s="1"/>
      <c r="D12" s="19" t="s">
        <v>198</v>
      </c>
    </row>
    <row r="13" spans="1:4" ht="28.95" customHeight="1">
      <c r="A13" s="2" t="s">
        <v>61</v>
      </c>
      <c r="B13" s="2" t="s">
        <v>62</v>
      </c>
      <c r="C13" s="1"/>
      <c r="D13" s="19" t="s">
        <v>199</v>
      </c>
    </row>
    <row r="14" spans="1:4" ht="37.049999999999997" customHeight="1">
      <c r="A14" s="1" t="s">
        <v>200</v>
      </c>
      <c r="B14" s="23">
        <v>120</v>
      </c>
      <c r="C14" s="1"/>
      <c r="D14" s="19" t="s">
        <v>201</v>
      </c>
    </row>
    <row r="15" spans="1:4" ht="37.049999999999997" customHeight="1">
      <c r="A15" s="1" t="s">
        <v>202</v>
      </c>
      <c r="B15" s="23">
        <v>180</v>
      </c>
      <c r="C15" s="1"/>
      <c r="D15" s="19"/>
    </row>
    <row r="16" spans="1:4" ht="37.049999999999997" customHeight="1">
      <c r="A16" s="1" t="s">
        <v>203</v>
      </c>
      <c r="B16" s="23">
        <v>30</v>
      </c>
      <c r="C16" s="1"/>
      <c r="D16" s="19"/>
    </row>
    <row r="17" spans="1:4" ht="28.95" customHeight="1">
      <c r="A17" s="1"/>
      <c r="B17" s="1"/>
      <c r="C17" s="1"/>
      <c r="D17" s="19"/>
    </row>
    <row r="18" spans="1:4" ht="28.95" customHeight="1">
      <c r="A18" s="1"/>
      <c r="B18" s="1"/>
      <c r="C18" s="1"/>
      <c r="D18" s="19"/>
    </row>
    <row r="19" spans="1:4" ht="28.95" customHeight="1">
      <c r="A19" s="1"/>
      <c r="B19" s="1"/>
      <c r="C19" s="1"/>
      <c r="D19" s="19"/>
    </row>
    <row r="20" spans="1:4" ht="28.95" customHeight="1">
      <c r="A20" s="1"/>
      <c r="B20" s="1"/>
      <c r="C20" s="1"/>
      <c r="D20" s="17" t="s">
        <v>68</v>
      </c>
    </row>
    <row r="21" spans="1:4" ht="28.95" customHeight="1">
      <c r="A21" s="1"/>
      <c r="B21" s="1"/>
      <c r="C21" s="1"/>
      <c r="D21" s="1"/>
    </row>
    <row r="22" spans="1:4" ht="28.95" customHeight="1">
      <c r="A22" s="1"/>
      <c r="B22" s="1"/>
      <c r="C22" s="1"/>
      <c r="D22" s="1"/>
    </row>
    <row r="23" spans="1:4" ht="28.95" customHeight="1">
      <c r="A23" s="1"/>
      <c r="B23" s="1"/>
      <c r="C23" s="1"/>
      <c r="D23" s="10" t="s">
        <v>69</v>
      </c>
    </row>
    <row r="24" spans="1:4" ht="28.95" customHeight="1">
      <c r="A24" s="1"/>
      <c r="B24" s="1"/>
      <c r="C24" s="1"/>
      <c r="D24" s="1"/>
    </row>
    <row r="25" spans="1:4" ht="28.95" customHeight="1">
      <c r="A25" s="1"/>
      <c r="B25" s="1"/>
      <c r="C25" s="1"/>
      <c r="D25" s="1"/>
    </row>
    <row r="26" spans="1:4" ht="25.95" customHeight="1">
      <c r="A26" s="1"/>
      <c r="B26" s="1"/>
      <c r="C26" s="1"/>
      <c r="D26" s="1"/>
    </row>
    <row r="27" spans="1:4" ht="25.95" customHeight="1">
      <c r="A27" s="1"/>
      <c r="B27" s="1"/>
      <c r="C27" s="1"/>
      <c r="D27" s="1"/>
    </row>
  </sheetData>
  <phoneticPr fontId="17" type="noConversion"/>
  <conditionalFormatting sqref="B5:B6">
    <cfRule type="expression" dxfId="12" priority="1">
      <formula>AND(ISNUMBER(B5),B5&lt;0)</formula>
    </cfRule>
    <cfRule type="expression" dxfId="11" priority="2">
      <formula>ISTEXT(B5)</formula>
    </cfRule>
  </conditionalFormatting>
  <dataValidations count="1">
    <dataValidation type="decimal" sqref="B14:B16" xr:uid="{00000000-0002-0000-0D00-000000000000}">
      <formula1>0</formula1>
      <formula2>1000000000000</formula2>
    </dataValidation>
  </dataValidations>
  <hyperlinks>
    <hyperlink ref="D23" location="'시작'!A1" display="← 계산 스튜디오로 돌아가기" xr:uid="{00000000-0004-0000-0D00-000000000000}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216B60"/>
  </sheetPr>
  <dimension ref="A1:D27"/>
  <sheetViews>
    <sheetView showGridLines="0" workbookViewId="0"/>
  </sheetViews>
  <sheetFormatPr defaultRowHeight="13.8"/>
  <cols>
    <col min="1" max="1" width="43" customWidth="1"/>
    <col min="2" max="2" width="26" customWidth="1"/>
    <col min="3" max="3" width="5" customWidth="1"/>
    <col min="4" max="4" width="49" customWidth="1"/>
  </cols>
  <sheetData>
    <row r="1" spans="1:4" ht="28.95" customHeight="1">
      <c r="A1" s="1"/>
      <c r="B1" s="1"/>
      <c r="C1" s="1"/>
      <c r="D1" s="1"/>
    </row>
    <row r="2" spans="1:4" ht="46.05" customHeight="1">
      <c r="A2" s="18" t="s">
        <v>204</v>
      </c>
      <c r="B2" s="8"/>
      <c r="C2" s="1"/>
      <c r="D2" s="19" t="s">
        <v>49</v>
      </c>
    </row>
    <row r="3" spans="1:4" ht="28.95" customHeight="1">
      <c r="A3" s="1"/>
      <c r="B3" s="1"/>
      <c r="C3" s="1"/>
      <c r="D3" s="1"/>
    </row>
    <row r="4" spans="1:4" ht="28.95" customHeight="1">
      <c r="A4" s="2" t="s">
        <v>50</v>
      </c>
      <c r="B4" s="2" t="s">
        <v>51</v>
      </c>
      <c r="C4" s="1"/>
      <c r="D4" s="26" t="s">
        <v>52</v>
      </c>
    </row>
    <row r="5" spans="1:4" ht="45" customHeight="1">
      <c r="A5" s="20" t="s">
        <v>205</v>
      </c>
      <c r="B5" s="21">
        <f>IFERROR(IF(AND(COUNT(B14:B16)=3,MIN(B14:B16)&gt;=0,MOD(B15,1)=0,MOD(B16,1)=0,B14&gt;0,B15&gt;0),B14*B15,"입력 확인"),"입력 확인")</f>
        <v>60</v>
      </c>
      <c r="C5" s="1"/>
      <c r="D5" s="25" t="s">
        <v>54</v>
      </c>
    </row>
    <row r="6" spans="1:4" ht="45" customHeight="1">
      <c r="A6" s="20" t="s">
        <v>206</v>
      </c>
      <c r="B6" s="21">
        <f>IFERROR(IF(AND(COUNT(B14:B16)=3,MIN(B14:B16)&gt;=0,MOD(B15,1)=0,MOD(B16,1)=0,B14&gt;0,B15&gt;0),ROUNDUP(ROUND(B5+B16,8),0),"입력 확인"),"입력 확인")</f>
        <v>90</v>
      </c>
      <c r="C6" s="1"/>
      <c r="D6" s="25" t="s">
        <v>56</v>
      </c>
    </row>
    <row r="7" spans="1:4" ht="28.95" customHeight="1">
      <c r="A7" s="1"/>
      <c r="B7" s="1"/>
      <c r="C7" s="1"/>
      <c r="D7" s="25" t="s">
        <v>57</v>
      </c>
    </row>
    <row r="8" spans="1:4" ht="28.95" customHeight="1">
      <c r="A8" s="1"/>
      <c r="B8" s="1"/>
      <c r="C8" s="1"/>
      <c r="D8" s="25" t="s">
        <v>58</v>
      </c>
    </row>
    <row r="9" spans="1:4" ht="28.95" customHeight="1">
      <c r="A9" s="1"/>
      <c r="B9" s="1"/>
      <c r="C9" s="1"/>
      <c r="D9" s="1"/>
    </row>
    <row r="10" spans="1:4" ht="28.95" customHeight="1">
      <c r="A10" s="1"/>
      <c r="B10" s="1"/>
      <c r="C10" s="1"/>
      <c r="D10" s="1"/>
    </row>
    <row r="11" spans="1:4" ht="28.95" customHeight="1">
      <c r="A11" s="1"/>
      <c r="B11" s="1"/>
      <c r="C11" s="1"/>
      <c r="D11" s="19" t="s">
        <v>207</v>
      </c>
    </row>
    <row r="12" spans="1:4" ht="28.95" customHeight="1">
      <c r="A12" s="1"/>
      <c r="B12" s="1"/>
      <c r="C12" s="1"/>
      <c r="D12" s="19" t="s">
        <v>208</v>
      </c>
    </row>
    <row r="13" spans="1:4" ht="28.95" customHeight="1">
      <c r="A13" s="2" t="s">
        <v>61</v>
      </c>
      <c r="B13" s="2" t="s">
        <v>62</v>
      </c>
      <c r="C13" s="1"/>
      <c r="D13" s="19" t="s">
        <v>209</v>
      </c>
    </row>
    <row r="14" spans="1:4" ht="37.049999999999997" customHeight="1">
      <c r="A14" s="1" t="s">
        <v>210</v>
      </c>
      <c r="B14" s="23">
        <v>6</v>
      </c>
      <c r="C14" s="1"/>
      <c r="D14" s="19" t="s">
        <v>211</v>
      </c>
    </row>
    <row r="15" spans="1:4" ht="37.049999999999997" customHeight="1">
      <c r="A15" s="1" t="s">
        <v>212</v>
      </c>
      <c r="B15" s="23">
        <v>10</v>
      </c>
      <c r="C15" s="1"/>
      <c r="D15" s="19"/>
    </row>
    <row r="16" spans="1:4" ht="37.049999999999997" customHeight="1">
      <c r="A16" s="1" t="s">
        <v>213</v>
      </c>
      <c r="B16" s="23">
        <v>30</v>
      </c>
      <c r="C16" s="1"/>
      <c r="D16" s="19"/>
    </row>
    <row r="17" spans="1:4" ht="28.95" customHeight="1">
      <c r="A17" s="1"/>
      <c r="B17" s="1"/>
      <c r="C17" s="1"/>
      <c r="D17" s="19"/>
    </row>
    <row r="18" spans="1:4" ht="28.95" customHeight="1">
      <c r="A18" s="1"/>
      <c r="B18" s="1"/>
      <c r="C18" s="1"/>
      <c r="D18" s="19"/>
    </row>
    <row r="19" spans="1:4" ht="28.95" customHeight="1">
      <c r="A19" s="1"/>
      <c r="B19" s="1"/>
      <c r="C19" s="1"/>
      <c r="D19" s="19"/>
    </row>
    <row r="20" spans="1:4" ht="28.95" customHeight="1">
      <c r="A20" s="1"/>
      <c r="B20" s="1"/>
      <c r="C20" s="1"/>
      <c r="D20" s="17" t="s">
        <v>68</v>
      </c>
    </row>
    <row r="21" spans="1:4" ht="28.95" customHeight="1">
      <c r="A21" s="1"/>
      <c r="B21" s="1"/>
      <c r="C21" s="1"/>
      <c r="D21" s="1"/>
    </row>
    <row r="22" spans="1:4" ht="28.95" customHeight="1">
      <c r="A22" s="1"/>
      <c r="B22" s="1"/>
      <c r="C22" s="1"/>
      <c r="D22" s="1"/>
    </row>
    <row r="23" spans="1:4" ht="28.95" customHeight="1">
      <c r="A23" s="1"/>
      <c r="B23" s="1"/>
      <c r="C23" s="1"/>
      <c r="D23" s="10" t="s">
        <v>69</v>
      </c>
    </row>
    <row r="24" spans="1:4" ht="28.95" customHeight="1">
      <c r="A24" s="1"/>
      <c r="B24" s="1"/>
      <c r="C24" s="1"/>
      <c r="D24" s="1"/>
    </row>
    <row r="25" spans="1:4" ht="28.95" customHeight="1">
      <c r="A25" s="1"/>
      <c r="B25" s="1"/>
      <c r="C25" s="1"/>
      <c r="D25" s="1"/>
    </row>
    <row r="26" spans="1:4" ht="25.95" customHeight="1">
      <c r="A26" s="1"/>
      <c r="B26" s="1"/>
      <c r="C26" s="1"/>
      <c r="D26" s="1"/>
    </row>
    <row r="27" spans="1:4" ht="25.95" customHeight="1">
      <c r="A27" s="1"/>
      <c r="B27" s="1"/>
      <c r="C27" s="1"/>
      <c r="D27" s="1"/>
    </row>
  </sheetData>
  <phoneticPr fontId="17" type="noConversion"/>
  <conditionalFormatting sqref="B5:B6">
    <cfRule type="expression" dxfId="10" priority="1">
      <formula>AND(ISNUMBER(B5),B5&lt;0)</formula>
    </cfRule>
    <cfRule type="expression" dxfId="9" priority="2">
      <formula>ISTEXT(B5)</formula>
    </cfRule>
  </conditionalFormatting>
  <dataValidations count="1">
    <dataValidation type="decimal" sqref="B14:B16" xr:uid="{00000000-0002-0000-0E00-000000000000}">
      <formula1>0</formula1>
      <formula2>1000000000000</formula2>
    </dataValidation>
  </dataValidations>
  <hyperlinks>
    <hyperlink ref="D23" location="'시작'!A1" display="← 계산 스튜디오로 돌아가기" xr:uid="{00000000-0004-0000-0E00-000000000000}"/>
  </hyperlink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216B60"/>
  </sheetPr>
  <dimension ref="A1:D27"/>
  <sheetViews>
    <sheetView showGridLines="0" workbookViewId="0"/>
  </sheetViews>
  <sheetFormatPr defaultRowHeight="13.8"/>
  <cols>
    <col min="1" max="1" width="43" customWidth="1"/>
    <col min="2" max="2" width="26" customWidth="1"/>
    <col min="3" max="3" width="5" customWidth="1"/>
    <col min="4" max="4" width="49" customWidth="1"/>
  </cols>
  <sheetData>
    <row r="1" spans="1:4" ht="28.95" customHeight="1">
      <c r="A1" s="1"/>
      <c r="B1" s="1"/>
      <c r="C1" s="1"/>
      <c r="D1" s="1"/>
    </row>
    <row r="2" spans="1:4" ht="46.05" customHeight="1">
      <c r="A2" s="18" t="s">
        <v>214</v>
      </c>
      <c r="B2" s="8"/>
      <c r="C2" s="1"/>
      <c r="D2" s="19" t="s">
        <v>49</v>
      </c>
    </row>
    <row r="3" spans="1:4" ht="28.95" customHeight="1">
      <c r="A3" s="1"/>
      <c r="B3" s="1"/>
      <c r="C3" s="1"/>
      <c r="D3" s="1"/>
    </row>
    <row r="4" spans="1:4" ht="28.95" customHeight="1">
      <c r="A4" s="2" t="s">
        <v>50</v>
      </c>
      <c r="B4" s="2" t="s">
        <v>51</v>
      </c>
      <c r="C4" s="1"/>
      <c r="D4" s="26" t="s">
        <v>52</v>
      </c>
    </row>
    <row r="5" spans="1:4" ht="45" customHeight="1">
      <c r="A5" s="20" t="s">
        <v>215</v>
      </c>
      <c r="B5" s="22">
        <f>IFERROR(IF(AND(COUNT(B14:B16)=3,MIN(B14:B16)&gt;=0),B14,"입력 확인"),"입력 확인")</f>
        <v>800000</v>
      </c>
      <c r="C5" s="1"/>
      <c r="D5" s="25" t="s">
        <v>54</v>
      </c>
    </row>
    <row r="6" spans="1:4" ht="45" customHeight="1">
      <c r="A6" s="20" t="s">
        <v>216</v>
      </c>
      <c r="B6" s="22">
        <f>IFERROR(IF(AND(COUNT(B14:B16)=3,MIN(B14:B16)&gt;=0),B15-B16,"입력 확인"),"입력 확인")</f>
        <v>900000</v>
      </c>
      <c r="C6" s="1"/>
      <c r="D6" s="25" t="s">
        <v>56</v>
      </c>
    </row>
    <row r="7" spans="1:4" ht="45" customHeight="1">
      <c r="A7" s="20" t="s">
        <v>217</v>
      </c>
      <c r="B7" s="22">
        <f>IFERROR(IF(AND(COUNT(B14:B16)=3,MIN(B14:B16)&gt;=0),B6-B5,"입력 확인"),"입력 확인")</f>
        <v>100000</v>
      </c>
      <c r="C7" s="1"/>
      <c r="D7" s="25" t="s">
        <v>57</v>
      </c>
    </row>
    <row r="8" spans="1:4" ht="28.95" customHeight="1">
      <c r="A8" s="1"/>
      <c r="B8" s="1"/>
      <c r="C8" s="1"/>
      <c r="D8" s="25" t="s">
        <v>58</v>
      </c>
    </row>
    <row r="9" spans="1:4" ht="28.95" customHeight="1">
      <c r="A9" s="1"/>
      <c r="B9" s="1"/>
      <c r="C9" s="1"/>
      <c r="D9" s="1"/>
    </row>
    <row r="10" spans="1:4" ht="28.95" customHeight="1">
      <c r="A10" s="1"/>
      <c r="B10" s="1"/>
      <c r="C10" s="1"/>
      <c r="D10" s="1"/>
    </row>
    <row r="11" spans="1:4" ht="28.95" customHeight="1">
      <c r="A11" s="1"/>
      <c r="B11" s="1"/>
      <c r="C11" s="1"/>
      <c r="D11" s="19" t="s">
        <v>218</v>
      </c>
    </row>
    <row r="12" spans="1:4" ht="28.95" customHeight="1">
      <c r="A12" s="1"/>
      <c r="B12" s="1"/>
      <c r="C12" s="1"/>
      <c r="D12" s="19" t="s">
        <v>219</v>
      </c>
    </row>
    <row r="13" spans="1:4" ht="28.95" customHeight="1">
      <c r="A13" s="2" t="s">
        <v>61</v>
      </c>
      <c r="B13" s="2" t="s">
        <v>62</v>
      </c>
      <c r="C13" s="1"/>
      <c r="D13" s="19" t="s">
        <v>220</v>
      </c>
    </row>
    <row r="14" spans="1:4" ht="37.049999999999997" customHeight="1">
      <c r="A14" s="1" t="s">
        <v>221</v>
      </c>
      <c r="B14" s="23">
        <v>800000</v>
      </c>
      <c r="C14" s="1"/>
      <c r="D14" s="19" t="s">
        <v>222</v>
      </c>
    </row>
    <row r="15" spans="1:4" ht="37.049999999999997" customHeight="1">
      <c r="A15" s="1" t="s">
        <v>223</v>
      </c>
      <c r="B15" s="23">
        <v>1100000</v>
      </c>
      <c r="C15" s="1"/>
      <c r="D15" s="19"/>
    </row>
    <row r="16" spans="1:4" ht="37.049999999999997" customHeight="1">
      <c r="A16" s="1" t="s">
        <v>224</v>
      </c>
      <c r="B16" s="23">
        <v>200000</v>
      </c>
      <c r="C16" s="1"/>
      <c r="D16" s="19"/>
    </row>
    <row r="17" spans="1:4" ht="28.95" customHeight="1">
      <c r="A17" s="1"/>
      <c r="B17" s="1"/>
      <c r="C17" s="1"/>
      <c r="D17" s="19"/>
    </row>
    <row r="18" spans="1:4" ht="28.95" customHeight="1">
      <c r="A18" s="1"/>
      <c r="B18" s="1"/>
      <c r="C18" s="1"/>
      <c r="D18" s="19"/>
    </row>
    <row r="19" spans="1:4" ht="28.95" customHeight="1">
      <c r="A19" s="1"/>
      <c r="B19" s="1"/>
      <c r="C19" s="1"/>
      <c r="D19" s="19"/>
    </row>
    <row r="20" spans="1:4" ht="28.95" customHeight="1">
      <c r="A20" s="1"/>
      <c r="B20" s="1"/>
      <c r="C20" s="1"/>
      <c r="D20" s="17" t="s">
        <v>68</v>
      </c>
    </row>
    <row r="21" spans="1:4" ht="28.95" customHeight="1">
      <c r="A21" s="1"/>
      <c r="B21" s="1"/>
      <c r="C21" s="1"/>
      <c r="D21" s="1"/>
    </row>
    <row r="22" spans="1:4" ht="28.95" customHeight="1">
      <c r="A22" s="1"/>
      <c r="B22" s="1"/>
      <c r="C22" s="1"/>
      <c r="D22" s="1"/>
    </row>
    <row r="23" spans="1:4" ht="28.95" customHeight="1">
      <c r="A23" s="1"/>
      <c r="B23" s="1"/>
      <c r="C23" s="1"/>
      <c r="D23" s="10" t="s">
        <v>69</v>
      </c>
    </row>
    <row r="24" spans="1:4" ht="28.95" customHeight="1">
      <c r="A24" s="1"/>
      <c r="B24" s="1"/>
      <c r="C24" s="1"/>
      <c r="D24" s="1"/>
    </row>
    <row r="25" spans="1:4" ht="28.95" customHeight="1">
      <c r="A25" s="1"/>
      <c r="B25" s="1"/>
      <c r="C25" s="1"/>
      <c r="D25" s="1"/>
    </row>
    <row r="26" spans="1:4" ht="25.95" customHeight="1">
      <c r="A26" s="1"/>
      <c r="B26" s="1"/>
      <c r="C26" s="1"/>
      <c r="D26" s="1"/>
    </row>
    <row r="27" spans="1:4" ht="25.95" customHeight="1">
      <c r="A27" s="1"/>
      <c r="B27" s="1"/>
      <c r="C27" s="1"/>
      <c r="D27" s="1"/>
    </row>
  </sheetData>
  <phoneticPr fontId="17" type="noConversion"/>
  <conditionalFormatting sqref="B5:B7">
    <cfRule type="expression" dxfId="8" priority="1">
      <formula>AND(ISNUMBER(B5),B5&lt;0)</formula>
    </cfRule>
    <cfRule type="expression" dxfId="7" priority="2">
      <formula>ISTEXT(B5)</formula>
    </cfRule>
  </conditionalFormatting>
  <dataValidations count="1">
    <dataValidation type="decimal" sqref="B14:B16" xr:uid="{00000000-0002-0000-0F00-000000000000}">
      <formula1>0</formula1>
      <formula2>1000000000000</formula2>
    </dataValidation>
  </dataValidations>
  <hyperlinks>
    <hyperlink ref="D23" location="'시작'!A1" display="← 계산 스튜디오로 돌아가기" xr:uid="{00000000-0004-0000-0F00-000000000000}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216B60"/>
  </sheetPr>
  <dimension ref="A1:D27"/>
  <sheetViews>
    <sheetView showGridLines="0" workbookViewId="0"/>
  </sheetViews>
  <sheetFormatPr defaultRowHeight="13.8"/>
  <cols>
    <col min="1" max="1" width="43" customWidth="1"/>
    <col min="2" max="2" width="26" customWidth="1"/>
    <col min="3" max="3" width="5" customWidth="1"/>
    <col min="4" max="4" width="49" customWidth="1"/>
  </cols>
  <sheetData>
    <row r="1" spans="1:4" ht="28.95" customHeight="1">
      <c r="A1" s="1"/>
      <c r="B1" s="1"/>
      <c r="C1" s="1"/>
      <c r="D1" s="1"/>
    </row>
    <row r="2" spans="1:4" ht="46.05" customHeight="1">
      <c r="A2" s="18" t="s">
        <v>225</v>
      </c>
      <c r="B2" s="8"/>
      <c r="C2" s="1"/>
      <c r="D2" s="19" t="s">
        <v>49</v>
      </c>
    </row>
    <row r="3" spans="1:4" ht="28.95" customHeight="1">
      <c r="A3" s="1"/>
      <c r="B3" s="1"/>
      <c r="C3" s="1"/>
      <c r="D3" s="1"/>
    </row>
    <row r="4" spans="1:4" ht="28.95" customHeight="1">
      <c r="A4" s="2" t="s">
        <v>50</v>
      </c>
      <c r="B4" s="2" t="s">
        <v>51</v>
      </c>
      <c r="C4" s="1"/>
      <c r="D4" s="26" t="s">
        <v>52</v>
      </c>
    </row>
    <row r="5" spans="1:4" ht="45" customHeight="1">
      <c r="A5" s="20" t="s">
        <v>226</v>
      </c>
      <c r="B5" s="22">
        <f>IFERROR(IF(AND(COUNT(B14:B17)=4,MIN(B14:B17)&gt;=0,B15&lt;=100,B17&lt;=100),B14*B15/100,"입력 확인"),"입력 확인")</f>
        <v>300000</v>
      </c>
      <c r="C5" s="1"/>
      <c r="D5" s="25" t="s">
        <v>54</v>
      </c>
    </row>
    <row r="6" spans="1:4" ht="45" customHeight="1">
      <c r="A6" s="20" t="s">
        <v>227</v>
      </c>
      <c r="B6" s="22">
        <f>IFERROR(IF(AND(COUNT(B14:B17)=4,MIN(B14:B17)&gt;=0,B15&lt;=100,B17&lt;=100),B16*B17/100,"입력 확인"),"입력 확인")</f>
        <v>600000</v>
      </c>
      <c r="C6" s="1"/>
      <c r="D6" s="25" t="s">
        <v>56</v>
      </c>
    </row>
    <row r="7" spans="1:4" ht="45" customHeight="1">
      <c r="A7" s="20" t="s">
        <v>228</v>
      </c>
      <c r="B7" s="22">
        <f>IFERROR(IF(AND(COUNT(B14:B17)=4,MIN(B14:B17)&gt;=0,B15&lt;=100,B17&lt;=100),B6-B5,"입력 확인"),"입력 확인")</f>
        <v>300000</v>
      </c>
      <c r="C7" s="1"/>
      <c r="D7" s="25" t="s">
        <v>57</v>
      </c>
    </row>
    <row r="8" spans="1:4" ht="28.95" customHeight="1">
      <c r="A8" s="1"/>
      <c r="B8" s="1"/>
      <c r="C8" s="1"/>
      <c r="D8" s="25" t="s">
        <v>58</v>
      </c>
    </row>
    <row r="9" spans="1:4" ht="28.95" customHeight="1">
      <c r="A9" s="1"/>
      <c r="B9" s="1"/>
      <c r="C9" s="1"/>
      <c r="D9" s="1"/>
    </row>
    <row r="10" spans="1:4" ht="28.95" customHeight="1">
      <c r="A10" s="1"/>
      <c r="B10" s="1"/>
      <c r="C10" s="1"/>
      <c r="D10" s="1"/>
    </row>
    <row r="11" spans="1:4" ht="28.95" customHeight="1">
      <c r="A11" s="1"/>
      <c r="B11" s="1"/>
      <c r="C11" s="1"/>
      <c r="D11" s="19" t="s">
        <v>229</v>
      </c>
    </row>
    <row r="12" spans="1:4" ht="28.95" customHeight="1">
      <c r="A12" s="1"/>
      <c r="B12" s="1"/>
      <c r="C12" s="1"/>
      <c r="D12" s="19" t="s">
        <v>230</v>
      </c>
    </row>
    <row r="13" spans="1:4" ht="28.95" customHeight="1">
      <c r="A13" s="2" t="s">
        <v>61</v>
      </c>
      <c r="B13" s="2" t="s">
        <v>62</v>
      </c>
      <c r="C13" s="1"/>
      <c r="D13" s="19" t="s">
        <v>231</v>
      </c>
    </row>
    <row r="14" spans="1:4" ht="37.049999999999997" customHeight="1">
      <c r="A14" s="1" t="s">
        <v>232</v>
      </c>
      <c r="B14" s="23">
        <v>3000000</v>
      </c>
      <c r="C14" s="1"/>
      <c r="D14" s="19"/>
    </row>
    <row r="15" spans="1:4" ht="37.049999999999997" customHeight="1">
      <c r="A15" s="1" t="s">
        <v>233</v>
      </c>
      <c r="B15" s="24">
        <v>10</v>
      </c>
      <c r="C15" s="1"/>
      <c r="D15" s="19"/>
    </row>
    <row r="16" spans="1:4" ht="37.049999999999997" customHeight="1">
      <c r="A16" s="1" t="s">
        <v>234</v>
      </c>
      <c r="B16" s="23">
        <v>2000000</v>
      </c>
      <c r="C16" s="1"/>
      <c r="D16" s="19"/>
    </row>
    <row r="17" spans="1:4" ht="37.049999999999997" customHeight="1">
      <c r="A17" s="1" t="s">
        <v>235</v>
      </c>
      <c r="B17" s="24">
        <v>30</v>
      </c>
      <c r="C17" s="1"/>
      <c r="D17" s="19"/>
    </row>
    <row r="18" spans="1:4" ht="28.95" customHeight="1">
      <c r="A18" s="1"/>
      <c r="B18" s="1"/>
      <c r="C18" s="1"/>
      <c r="D18" s="19"/>
    </row>
    <row r="19" spans="1:4" ht="28.95" customHeight="1">
      <c r="A19" s="1"/>
      <c r="B19" s="1"/>
      <c r="C19" s="1"/>
      <c r="D19" s="19"/>
    </row>
    <row r="20" spans="1:4" ht="28.95" customHeight="1">
      <c r="A20" s="1"/>
      <c r="B20" s="1"/>
      <c r="C20" s="1"/>
      <c r="D20" s="17" t="s">
        <v>68</v>
      </c>
    </row>
    <row r="21" spans="1:4" ht="28.95" customHeight="1">
      <c r="A21" s="1"/>
      <c r="B21" s="1"/>
      <c r="C21" s="1"/>
      <c r="D21" s="1"/>
    </row>
    <row r="22" spans="1:4" ht="28.95" customHeight="1">
      <c r="A22" s="1"/>
      <c r="B22" s="1"/>
      <c r="C22" s="1"/>
      <c r="D22" s="1"/>
    </row>
    <row r="23" spans="1:4" ht="28.95" customHeight="1">
      <c r="A23" s="1"/>
      <c r="B23" s="1"/>
      <c r="C23" s="1"/>
      <c r="D23" s="10" t="s">
        <v>69</v>
      </c>
    </row>
    <row r="24" spans="1:4" ht="28.95" customHeight="1">
      <c r="A24" s="1"/>
      <c r="B24" s="1"/>
      <c r="C24" s="1"/>
      <c r="D24" s="1"/>
    </row>
    <row r="25" spans="1:4" ht="28.95" customHeight="1">
      <c r="A25" s="1"/>
      <c r="B25" s="1"/>
      <c r="C25" s="1"/>
      <c r="D25" s="1"/>
    </row>
    <row r="26" spans="1:4" ht="25.95" customHeight="1">
      <c r="A26" s="1"/>
      <c r="B26" s="1"/>
      <c r="C26" s="1"/>
      <c r="D26" s="1"/>
    </row>
    <row r="27" spans="1:4" ht="25.95" customHeight="1">
      <c r="A27" s="1"/>
      <c r="B27" s="1"/>
      <c r="C27" s="1"/>
      <c r="D27" s="1"/>
    </row>
  </sheetData>
  <phoneticPr fontId="17" type="noConversion"/>
  <conditionalFormatting sqref="B5:B7">
    <cfRule type="expression" dxfId="6" priority="1">
      <formula>AND(ISNUMBER(B5),B5&lt;0)</formula>
    </cfRule>
    <cfRule type="expression" dxfId="5" priority="2">
      <formula>ISTEXT(B5)</formula>
    </cfRule>
  </conditionalFormatting>
  <dataValidations count="2">
    <dataValidation type="decimal" sqref="B14 B16" xr:uid="{00000000-0002-0000-1000-000000000000}">
      <formula1>0</formula1>
      <formula2>1000000000000</formula2>
    </dataValidation>
    <dataValidation type="decimal" sqref="B15 B17" xr:uid="{00000000-0002-0000-1000-000001000000}">
      <formula1>0</formula1>
      <formula2>100</formula2>
    </dataValidation>
  </dataValidations>
  <hyperlinks>
    <hyperlink ref="D23" location="'시작'!A1" display="← 계산 스튜디오로 돌아가기" xr:uid="{00000000-0004-0000-1000-000000000000}"/>
  </hyperlink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216B60"/>
  </sheetPr>
  <dimension ref="A1:D27"/>
  <sheetViews>
    <sheetView showGridLines="0" workbookViewId="0"/>
  </sheetViews>
  <sheetFormatPr defaultRowHeight="13.8"/>
  <cols>
    <col min="1" max="1" width="43" customWidth="1"/>
    <col min="2" max="2" width="26" customWidth="1"/>
    <col min="3" max="3" width="5" customWidth="1"/>
    <col min="4" max="4" width="49" customWidth="1"/>
  </cols>
  <sheetData>
    <row r="1" spans="1:4" ht="28.95" customHeight="1">
      <c r="A1" s="1"/>
      <c r="B1" s="1"/>
      <c r="C1" s="1"/>
      <c r="D1" s="1"/>
    </row>
    <row r="2" spans="1:4" ht="46.05" customHeight="1">
      <c r="A2" s="18" t="s">
        <v>236</v>
      </c>
      <c r="B2" s="8"/>
      <c r="C2" s="1"/>
      <c r="D2" s="19" t="s">
        <v>49</v>
      </c>
    </row>
    <row r="3" spans="1:4" ht="28.95" customHeight="1">
      <c r="A3" s="1"/>
      <c r="B3" s="1"/>
      <c r="C3" s="1"/>
      <c r="D3" s="1"/>
    </row>
    <row r="4" spans="1:4" ht="28.95" customHeight="1">
      <c r="A4" s="2" t="s">
        <v>50</v>
      </c>
      <c r="B4" s="2" t="s">
        <v>51</v>
      </c>
      <c r="C4" s="1"/>
      <c r="D4" s="26" t="s">
        <v>52</v>
      </c>
    </row>
    <row r="5" spans="1:4" ht="45" customHeight="1">
      <c r="A5" s="20" t="s">
        <v>71</v>
      </c>
      <c r="B5" s="22">
        <f>IFERROR(IF(AND(COUNT(B14:B19)=6,MIN(B14:B19)&gt;=0,B17&lt;=100,MOD(B19,1)=0,B17&lt;100,B19&gt;0,B14*(1-B17/100)-B16-B18&gt;0,B15*(1-B17/100)-B16-B18&gt;0),B14*(1-B17/100)-B16-B18,"입력 확인"),"입력 확인")</f>
        <v>9700</v>
      </c>
      <c r="C5" s="1"/>
      <c r="D5" s="25" t="s">
        <v>54</v>
      </c>
    </row>
    <row r="6" spans="1:4" ht="45" customHeight="1">
      <c r="A6" s="20" t="s">
        <v>237</v>
      </c>
      <c r="B6" s="22">
        <f>IFERROR(IF(AND(COUNT(B14:B19)=6,MIN(B14:B19)&gt;=0,B17&lt;=100,MOD(B19,1)=0,B17&lt;100,B19&gt;0,B14*(1-B17/100)-B16-B18&gt;0,B15*(1-B17/100)-B16-B18&gt;0),B15*(1-B17/100)-B16-B18,"입력 확인"),"입력 확인")</f>
        <v>12520</v>
      </c>
      <c r="C6" s="1"/>
      <c r="D6" s="25" t="s">
        <v>56</v>
      </c>
    </row>
    <row r="7" spans="1:4" ht="45" customHeight="1">
      <c r="A7" s="20" t="s">
        <v>73</v>
      </c>
      <c r="B7" s="21">
        <f>IFERROR(IF(AND(COUNT(B14:B19)=6,MIN(B14:B19)&gt;=0,B17&lt;=100,MOD(B19,1)=0,B17&lt;100,B19&gt;0,B14*(1-B17/100)-B16-B18&gt;0,B15*(1-B17/100)-B16-B18&gt;0),ROUNDUP(ROUND(B5*B19/B6,8),0),"입력 확인"),"입력 확인")</f>
        <v>78</v>
      </c>
      <c r="C7" s="1"/>
      <c r="D7" s="25" t="s">
        <v>57</v>
      </c>
    </row>
    <row r="8" spans="1:4" ht="28.95" customHeight="1">
      <c r="A8" s="1"/>
      <c r="B8" s="1"/>
      <c r="C8" s="1"/>
      <c r="D8" s="25" t="s">
        <v>58</v>
      </c>
    </row>
    <row r="9" spans="1:4" ht="28.95" customHeight="1">
      <c r="A9" s="1"/>
      <c r="B9" s="1"/>
      <c r="C9" s="1"/>
      <c r="D9" s="1"/>
    </row>
    <row r="10" spans="1:4" ht="28.95" customHeight="1">
      <c r="A10" s="1"/>
      <c r="B10" s="1"/>
      <c r="C10" s="1"/>
      <c r="D10" s="1"/>
    </row>
    <row r="11" spans="1:4" ht="28.95" customHeight="1">
      <c r="A11" s="1"/>
      <c r="B11" s="1"/>
      <c r="C11" s="1"/>
      <c r="D11" s="19" t="s">
        <v>238</v>
      </c>
    </row>
    <row r="12" spans="1:4" ht="28.95" customHeight="1">
      <c r="A12" s="1"/>
      <c r="B12" s="1"/>
      <c r="C12" s="1"/>
      <c r="D12" s="19" t="s">
        <v>239</v>
      </c>
    </row>
    <row r="13" spans="1:4" ht="28.95" customHeight="1">
      <c r="A13" s="2" t="s">
        <v>61</v>
      </c>
      <c r="B13" s="2" t="s">
        <v>62</v>
      </c>
      <c r="C13" s="1"/>
      <c r="D13" s="19" t="s">
        <v>240</v>
      </c>
    </row>
    <row r="14" spans="1:4" ht="37.049999999999997" customHeight="1">
      <c r="A14" s="1" t="s">
        <v>241</v>
      </c>
      <c r="B14" s="23">
        <v>30000</v>
      </c>
      <c r="C14" s="1"/>
      <c r="D14" s="19" t="s">
        <v>242</v>
      </c>
    </row>
    <row r="15" spans="1:4" ht="37.049999999999997" customHeight="1">
      <c r="A15" s="1" t="s">
        <v>243</v>
      </c>
      <c r="B15" s="23">
        <v>33000</v>
      </c>
      <c r="C15" s="1"/>
      <c r="D15" s="19" t="s">
        <v>111</v>
      </c>
    </row>
    <row r="16" spans="1:4" ht="37.049999999999997" customHeight="1">
      <c r="A16" s="1" t="s">
        <v>123</v>
      </c>
      <c r="B16" s="23">
        <v>15000</v>
      </c>
      <c r="C16" s="1"/>
      <c r="D16" s="19"/>
    </row>
    <row r="17" spans="1:4" ht="37.049999999999997" customHeight="1">
      <c r="A17" s="1" t="s">
        <v>66</v>
      </c>
      <c r="B17" s="24">
        <v>6</v>
      </c>
      <c r="C17" s="1"/>
      <c r="D17" s="19"/>
    </row>
    <row r="18" spans="1:4" ht="37.049999999999997" customHeight="1">
      <c r="A18" s="1" t="s">
        <v>67</v>
      </c>
      <c r="B18" s="23">
        <v>3500</v>
      </c>
      <c r="C18" s="1"/>
      <c r="D18" s="19"/>
    </row>
    <row r="19" spans="1:4" ht="37.049999999999997" customHeight="1">
      <c r="A19" s="1" t="s">
        <v>244</v>
      </c>
      <c r="B19" s="23">
        <v>100</v>
      </c>
      <c r="C19" s="1"/>
      <c r="D19" s="19"/>
    </row>
    <row r="20" spans="1:4" ht="28.95" customHeight="1">
      <c r="A20" s="1"/>
      <c r="B20" s="1"/>
      <c r="C20" s="1"/>
      <c r="D20" s="17" t="s">
        <v>68</v>
      </c>
    </row>
    <row r="21" spans="1:4" ht="28.95" customHeight="1">
      <c r="A21" s="1"/>
      <c r="B21" s="1"/>
      <c r="C21" s="1"/>
      <c r="D21" s="1"/>
    </row>
    <row r="22" spans="1:4" ht="28.95" customHeight="1">
      <c r="A22" s="1"/>
      <c r="B22" s="1"/>
      <c r="C22" s="1"/>
      <c r="D22" s="1"/>
    </row>
    <row r="23" spans="1:4" ht="28.95" customHeight="1">
      <c r="A23" s="1"/>
      <c r="B23" s="1"/>
      <c r="C23" s="1"/>
      <c r="D23" s="10" t="s">
        <v>69</v>
      </c>
    </row>
    <row r="24" spans="1:4" ht="28.95" customHeight="1">
      <c r="A24" s="1"/>
      <c r="B24" s="1"/>
      <c r="C24" s="1"/>
      <c r="D24" s="1"/>
    </row>
    <row r="25" spans="1:4" ht="28.95" customHeight="1">
      <c r="A25" s="1"/>
      <c r="B25" s="1"/>
      <c r="C25" s="1"/>
      <c r="D25" s="1"/>
    </row>
    <row r="26" spans="1:4" ht="25.95" customHeight="1">
      <c r="A26" s="1"/>
      <c r="B26" s="1"/>
      <c r="C26" s="1"/>
      <c r="D26" s="1"/>
    </row>
    <row r="27" spans="1:4" ht="25.95" customHeight="1">
      <c r="A27" s="1"/>
      <c r="B27" s="1"/>
      <c r="C27" s="1"/>
      <c r="D27" s="1"/>
    </row>
  </sheetData>
  <phoneticPr fontId="17" type="noConversion"/>
  <conditionalFormatting sqref="B5:B7">
    <cfRule type="expression" dxfId="4" priority="1">
      <formula>AND(ISNUMBER(B5),B5&lt;0)</formula>
    </cfRule>
    <cfRule type="expression" dxfId="3" priority="2">
      <formula>ISTEXT(B5)</formula>
    </cfRule>
  </conditionalFormatting>
  <dataValidations count="2">
    <dataValidation type="decimal" sqref="B18:B19 B14:B16" xr:uid="{00000000-0002-0000-1100-000000000000}">
      <formula1>0</formula1>
      <formula2>1000000000000</formula2>
    </dataValidation>
    <dataValidation type="decimal" sqref="B17" xr:uid="{00000000-0002-0000-1100-000003000000}">
      <formula1>0</formula1>
      <formula2>100</formula2>
    </dataValidation>
  </dataValidations>
  <hyperlinks>
    <hyperlink ref="D23" location="'시작'!A1" display="← 계산 스튜디오로 돌아가기" xr:uid="{00000000-0004-0000-1100-000000000000}"/>
  </hyperlink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216B60"/>
  </sheetPr>
  <dimension ref="A1:H40"/>
  <sheetViews>
    <sheetView showGridLines="0" workbookViewId="0"/>
  </sheetViews>
  <sheetFormatPr defaultRowHeight="13.8"/>
  <cols>
    <col min="1" max="1" width="37" customWidth="1"/>
    <col min="2" max="2" width="22" customWidth="1"/>
    <col min="3" max="3" width="19" customWidth="1"/>
    <col min="4" max="4" width="33" customWidth="1"/>
    <col min="5" max="5" width="22" customWidth="1"/>
    <col min="6" max="8" width="19" customWidth="1"/>
  </cols>
  <sheetData>
    <row r="1" spans="1:8" ht="28.05" customHeight="1">
      <c r="A1" s="1"/>
      <c r="B1" s="1"/>
      <c r="C1" s="1"/>
      <c r="D1" s="1"/>
      <c r="E1" s="1"/>
      <c r="F1" s="1"/>
      <c r="G1" s="1"/>
      <c r="H1" s="1"/>
    </row>
    <row r="2" spans="1:8" ht="48" customHeight="1">
      <c r="A2" s="18" t="s">
        <v>245</v>
      </c>
      <c r="B2" s="8"/>
      <c r="C2" s="1"/>
      <c r="D2" s="1"/>
      <c r="E2" s="1"/>
      <c r="F2" s="1"/>
      <c r="G2" s="1"/>
      <c r="H2" s="1"/>
    </row>
    <row r="3" spans="1:8" ht="28.05" customHeight="1">
      <c r="A3" s="1"/>
      <c r="B3" s="1"/>
      <c r="C3" s="1"/>
      <c r="D3" s="1"/>
      <c r="E3" s="1"/>
      <c r="F3" s="1"/>
      <c r="G3" s="1"/>
      <c r="H3" s="1"/>
    </row>
    <row r="4" spans="1:8" ht="28.05" customHeight="1">
      <c r="A4" s="2" t="s">
        <v>246</v>
      </c>
      <c r="B4" s="2" t="s">
        <v>247</v>
      </c>
      <c r="C4" s="1"/>
      <c r="D4" s="2" t="s">
        <v>248</v>
      </c>
      <c r="E4" s="2" t="s">
        <v>249</v>
      </c>
      <c r="F4" s="1"/>
      <c r="G4" s="1"/>
      <c r="H4" s="1"/>
    </row>
    <row r="5" spans="1:8" ht="42" customHeight="1">
      <c r="A5" s="1" t="s">
        <v>250</v>
      </c>
      <c r="B5" s="27">
        <f>IFERROR(IF(AND(COUNT(B12:B17)=6,MIN(B12:B17)&gt;=0,B14+B15&lt;100,B17&lt;100),ROUNDUP(ROUND((B12+B13)/(1-(B14+B15)/100),8),0),"입력 확인"),"입력 확인")</f>
        <v>28907</v>
      </c>
      <c r="C5" s="1"/>
      <c r="D5" s="3">
        <v>5</v>
      </c>
      <c r="E5" s="29">
        <f>IFERROR(IF(AND(ISNUMBER(B5),$B$14+D5&lt;100),ROUNDUP(ROUND(($B$12+$B$13)/(1-($B$14+D5)/100),8),0),"입력 확인"),"입력 확인")</f>
        <v>20787</v>
      </c>
      <c r="F5" s="1"/>
      <c r="G5" s="1"/>
      <c r="H5" s="1"/>
    </row>
    <row r="6" spans="1:8" ht="42" customHeight="1">
      <c r="A6" s="1" t="s">
        <v>91</v>
      </c>
      <c r="B6" s="27">
        <f>IFERROR(IF(ISNUMBER(B5),ROUNDUP(ROUND((B12+B13+B16)/(1-B14/100),8),0),"입력 확인"),"입력 확인")</f>
        <v>30320</v>
      </c>
      <c r="C6" s="1"/>
      <c r="D6" s="3">
        <v>10</v>
      </c>
      <c r="E6" s="29">
        <f>IFERROR(IF(AND(ISNUMBER(B5),$B$14+D6&lt;100),ROUNDUP(ROUND(($B$12+$B$13)/(1-($B$14+D6)/100),8),0),"입력 확인"),"입력 확인")</f>
        <v>22024</v>
      </c>
      <c r="F6" s="1"/>
      <c r="G6" s="1"/>
      <c r="H6" s="1"/>
    </row>
    <row r="7" spans="1:8" ht="42" customHeight="1">
      <c r="A7" s="1" t="s">
        <v>251</v>
      </c>
      <c r="B7" s="27">
        <f>IFERROR(ROUNDUP(ROUND(B5/(1-B17/100),8),0),"입력 확인")</f>
        <v>32119</v>
      </c>
      <c r="C7" s="1"/>
      <c r="D7" s="3">
        <v>15</v>
      </c>
      <c r="E7" s="29">
        <f>IFERROR(IF(AND(ISNUMBER(B5),$B$14+D7&lt;100),ROUNDUP(ROUND(($B$12+$B$13)/(1-($B$14+D7)/100),8),0),"입력 확인"),"입력 확인")</f>
        <v>23418</v>
      </c>
      <c r="F7" s="1"/>
      <c r="G7" s="1"/>
      <c r="H7" s="1"/>
    </row>
    <row r="8" spans="1:8" ht="42" customHeight="1">
      <c r="A8" s="1"/>
      <c r="B8" s="27"/>
      <c r="C8" s="1"/>
      <c r="D8" s="3">
        <v>20</v>
      </c>
      <c r="E8" s="29">
        <f>IFERROR(IF(AND(ISNUMBER(B5),$B$14+D8&lt;100),ROUNDUP(ROUND(($B$12+$B$13)/(1-($B$14+D8)/100),8),0),"입력 확인"),"입력 확인")</f>
        <v>25000</v>
      </c>
      <c r="F8" s="1"/>
      <c r="G8" s="1"/>
      <c r="H8" s="1"/>
    </row>
    <row r="9" spans="1:8" ht="28.05" customHeight="1">
      <c r="A9" s="1"/>
      <c r="B9" s="1"/>
      <c r="C9" s="1"/>
      <c r="D9" s="3">
        <v>25</v>
      </c>
      <c r="E9" s="29">
        <f>IFERROR(IF(AND(ISNUMBER(B5),$B$14+D9&lt;100),ROUNDUP(ROUND(($B$12+$B$13)/(1-($B$14+D9)/100),8),0),"입력 확인"),"입력 확인")</f>
        <v>26812</v>
      </c>
      <c r="F9" s="1"/>
      <c r="G9" s="1"/>
      <c r="H9" s="1"/>
    </row>
    <row r="10" spans="1:8" ht="28.05" customHeight="1">
      <c r="A10" s="1"/>
      <c r="B10" s="1"/>
      <c r="C10" s="1"/>
      <c r="D10" s="3">
        <v>30</v>
      </c>
      <c r="E10" s="29">
        <f>IFERROR(IF(AND(ISNUMBER(B5),$B$14+D10&lt;100),ROUNDUP(ROUND(($B$12+$B$13)/(1-($B$14+D10)/100),8),0),"입력 확인"),"입력 확인")</f>
        <v>28907</v>
      </c>
      <c r="F10" s="1"/>
      <c r="G10" s="1"/>
      <c r="H10" s="1"/>
    </row>
    <row r="11" spans="1:8" ht="28.05" customHeight="1">
      <c r="A11" s="2" t="s">
        <v>61</v>
      </c>
      <c r="B11" s="2" t="s">
        <v>51</v>
      </c>
      <c r="C11" s="1"/>
      <c r="D11" s="3">
        <v>35</v>
      </c>
      <c r="E11" s="29">
        <f>IFERROR(IF(AND(ISNUMBER(B5),$B$14+D11&lt;100),ROUNDUP(ROUND(($B$12+$B$13)/(1-($B$14+D11)/100),8),0),"입력 확인"),"입력 확인")</f>
        <v>31356</v>
      </c>
      <c r="F11" s="1"/>
      <c r="G11" s="1"/>
      <c r="H11" s="1"/>
    </row>
    <row r="12" spans="1:8" ht="28.05" customHeight="1">
      <c r="A12" s="1" t="s">
        <v>65</v>
      </c>
      <c r="B12" s="5">
        <v>15000</v>
      </c>
      <c r="C12" s="1"/>
      <c r="D12" s="1"/>
      <c r="E12" s="1"/>
      <c r="F12" s="1"/>
      <c r="G12" s="1"/>
      <c r="H12" s="1"/>
    </row>
    <row r="13" spans="1:8" ht="28.05" customHeight="1">
      <c r="A13" s="1" t="s">
        <v>67</v>
      </c>
      <c r="B13" s="5">
        <v>3500</v>
      </c>
      <c r="C13" s="1"/>
      <c r="D13" s="1"/>
      <c r="E13" s="1"/>
      <c r="F13" s="1"/>
      <c r="G13" s="1"/>
      <c r="H13" s="1"/>
    </row>
    <row r="14" spans="1:8" ht="28.05" customHeight="1">
      <c r="A14" s="1" t="s">
        <v>252</v>
      </c>
      <c r="B14" s="5">
        <v>6</v>
      </c>
      <c r="C14" s="1"/>
      <c r="D14" s="1"/>
      <c r="E14" s="1"/>
      <c r="F14" s="1"/>
      <c r="G14" s="1"/>
      <c r="H14" s="1"/>
    </row>
    <row r="15" spans="1:8" ht="28.05" customHeight="1">
      <c r="A15" s="1" t="s">
        <v>253</v>
      </c>
      <c r="B15" s="5">
        <v>30</v>
      </c>
      <c r="C15" s="1"/>
      <c r="D15" s="1"/>
      <c r="E15" s="1"/>
      <c r="F15" s="1"/>
      <c r="G15" s="1"/>
      <c r="H15" s="1"/>
    </row>
    <row r="16" spans="1:8" ht="28.05" customHeight="1">
      <c r="A16" s="1" t="s">
        <v>254</v>
      </c>
      <c r="B16" s="5">
        <v>10000</v>
      </c>
      <c r="C16" s="1"/>
      <c r="D16" s="1"/>
      <c r="E16" s="1"/>
      <c r="F16" s="1"/>
      <c r="G16" s="1"/>
      <c r="H16" s="1"/>
    </row>
    <row r="17" spans="1:8" ht="28.05" customHeight="1">
      <c r="A17" s="1" t="s">
        <v>255</v>
      </c>
      <c r="B17" s="5">
        <v>10</v>
      </c>
      <c r="C17" s="1"/>
      <c r="D17" s="1"/>
      <c r="E17" s="1"/>
      <c r="F17" s="1"/>
      <c r="G17" s="1"/>
      <c r="H17" s="1"/>
    </row>
    <row r="18" spans="1:8" ht="28.05" customHeight="1">
      <c r="A18" s="1"/>
      <c r="B18" s="28"/>
      <c r="C18" s="1"/>
      <c r="D18" s="1"/>
      <c r="E18" s="1"/>
      <c r="F18" s="1"/>
      <c r="G18" s="1"/>
      <c r="H18" s="1"/>
    </row>
    <row r="19" spans="1:8" ht="28.05" customHeight="1">
      <c r="A19" s="1"/>
      <c r="B19" s="28"/>
      <c r="C19" s="1"/>
      <c r="D19" s="1"/>
      <c r="E19" s="1"/>
      <c r="F19" s="1"/>
      <c r="G19" s="1"/>
      <c r="H19" s="1"/>
    </row>
    <row r="20" spans="1:8" ht="28.05" customHeight="1">
      <c r="A20" s="19" t="s">
        <v>256</v>
      </c>
      <c r="B20" s="19"/>
      <c r="C20" s="1"/>
      <c r="D20" s="1"/>
      <c r="E20" s="1"/>
      <c r="F20" s="1"/>
      <c r="G20" s="1"/>
      <c r="H20" s="1"/>
    </row>
    <row r="21" spans="1:8" ht="28.05" customHeight="1">
      <c r="A21" s="19" t="s">
        <v>257</v>
      </c>
      <c r="B21" s="19"/>
      <c r="C21" s="1"/>
      <c r="D21" s="1"/>
      <c r="E21" s="1"/>
      <c r="F21" s="1"/>
      <c r="G21" s="1"/>
      <c r="H21" s="1"/>
    </row>
    <row r="22" spans="1:8" ht="28.05" customHeight="1">
      <c r="A22" s="19"/>
      <c r="B22" s="19"/>
      <c r="C22" s="1"/>
      <c r="D22" s="1"/>
      <c r="E22" s="1"/>
      <c r="F22" s="1"/>
      <c r="G22" s="1"/>
      <c r="H22" s="1"/>
    </row>
    <row r="23" spans="1:8" ht="28.05" customHeight="1">
      <c r="A23" s="19"/>
      <c r="B23" s="19"/>
      <c r="C23" s="1"/>
      <c r="D23" s="1"/>
      <c r="E23" s="1"/>
      <c r="F23" s="1"/>
      <c r="G23" s="1"/>
      <c r="H23" s="1"/>
    </row>
    <row r="24" spans="1:8" ht="28.05" customHeight="1">
      <c r="A24" s="1"/>
      <c r="B24" s="1"/>
      <c r="C24" s="1"/>
      <c r="D24" s="1"/>
      <c r="E24" s="1"/>
      <c r="F24" s="1"/>
      <c r="G24" s="1"/>
      <c r="H24" s="1"/>
    </row>
    <row r="25" spans="1:8" ht="28.05" customHeight="1">
      <c r="A25" s="1"/>
      <c r="B25" s="1"/>
      <c r="C25" s="1"/>
      <c r="D25" s="1"/>
      <c r="E25" s="1"/>
      <c r="F25" s="1"/>
      <c r="G25" s="1"/>
      <c r="H25" s="1"/>
    </row>
    <row r="26" spans="1:8" ht="28.05" customHeight="1">
      <c r="A26" s="1"/>
      <c r="B26" s="1"/>
      <c r="C26" s="1"/>
      <c r="D26" s="1"/>
      <c r="E26" s="1"/>
      <c r="F26" s="1"/>
      <c r="G26" s="1"/>
      <c r="H26" s="1"/>
    </row>
    <row r="27" spans="1:8" ht="28.05" customHeight="1">
      <c r="A27" s="1"/>
      <c r="B27" s="1"/>
      <c r="C27" s="1"/>
      <c r="D27" s="1"/>
      <c r="E27" s="1"/>
      <c r="F27" s="1"/>
      <c r="G27" s="1"/>
      <c r="H27" s="1"/>
    </row>
    <row r="28" spans="1:8" ht="28.05" customHeight="1">
      <c r="A28" s="1"/>
      <c r="B28" s="1"/>
      <c r="C28" s="1"/>
      <c r="D28" s="1"/>
      <c r="E28" s="1"/>
      <c r="F28" s="1"/>
      <c r="G28" s="1"/>
      <c r="H28" s="1"/>
    </row>
    <row r="29" spans="1:8" ht="28.05" customHeight="1">
      <c r="A29" s="1"/>
      <c r="B29" s="1"/>
      <c r="C29" s="1"/>
      <c r="D29" s="1"/>
      <c r="E29" s="1"/>
      <c r="F29" s="1"/>
      <c r="G29" s="1"/>
      <c r="H29" s="1"/>
    </row>
    <row r="30" spans="1:8" ht="28.05" customHeight="1">
      <c r="A30" s="1"/>
      <c r="B30" s="1"/>
      <c r="C30" s="1"/>
      <c r="D30" s="1"/>
      <c r="E30" s="1"/>
      <c r="F30" s="1"/>
      <c r="G30" s="1"/>
      <c r="H30" s="1"/>
    </row>
    <row r="31" spans="1:8" ht="28.05" customHeight="1">
      <c r="A31" s="1"/>
      <c r="B31" s="1"/>
      <c r="C31" s="1"/>
      <c r="D31" s="1"/>
      <c r="E31" s="1"/>
      <c r="F31" s="1"/>
      <c r="G31" s="1"/>
      <c r="H31" s="1"/>
    </row>
    <row r="32" spans="1:8" ht="28.05" customHeight="1">
      <c r="A32" s="1"/>
      <c r="B32" s="1"/>
      <c r="C32" s="1"/>
      <c r="D32" s="1"/>
      <c r="E32" s="1"/>
      <c r="F32" s="1"/>
      <c r="G32" s="1"/>
      <c r="H32" s="1"/>
    </row>
    <row r="33" spans="1:8" ht="28.05" customHeight="1">
      <c r="A33" s="1"/>
      <c r="B33" s="1"/>
      <c r="C33" s="1"/>
      <c r="D33" s="1"/>
      <c r="E33" s="1"/>
      <c r="F33" s="1"/>
      <c r="G33" s="1"/>
      <c r="H33" s="1"/>
    </row>
    <row r="34" spans="1:8" ht="28.05" customHeight="1">
      <c r="A34" s="1"/>
      <c r="B34" s="1"/>
      <c r="C34" s="1"/>
      <c r="D34" s="1"/>
      <c r="E34" s="1"/>
      <c r="F34" s="1"/>
      <c r="G34" s="1"/>
      <c r="H34" s="1"/>
    </row>
    <row r="35" spans="1:8" ht="28.05" customHeight="1">
      <c r="A35" s="1"/>
      <c r="B35" s="1"/>
      <c r="C35" s="1"/>
      <c r="D35" s="1"/>
      <c r="E35" s="1"/>
      <c r="F35" s="1"/>
      <c r="G35" s="1"/>
      <c r="H35" s="1"/>
    </row>
    <row r="36" spans="1:8" ht="28.05" customHeight="1">
      <c r="A36" s="1"/>
      <c r="B36" s="1"/>
      <c r="C36" s="1"/>
      <c r="D36" s="1"/>
      <c r="E36" s="1"/>
      <c r="F36" s="1"/>
      <c r="G36" s="1"/>
      <c r="H36" s="1"/>
    </row>
    <row r="37" spans="1:8" ht="28.05" customHeight="1">
      <c r="A37" s="1"/>
      <c r="B37" s="1"/>
      <c r="C37" s="1"/>
      <c r="D37" s="1"/>
      <c r="E37" s="1"/>
      <c r="F37" s="1"/>
      <c r="G37" s="1"/>
      <c r="H37" s="1"/>
    </row>
    <row r="38" spans="1:8" ht="28.05" customHeight="1">
      <c r="A38" s="1"/>
      <c r="B38" s="1"/>
      <c r="C38" s="1"/>
      <c r="D38" s="1"/>
      <c r="E38" s="1"/>
      <c r="F38" s="1"/>
      <c r="G38" s="1"/>
      <c r="H38" s="1"/>
    </row>
    <row r="39" spans="1:8" ht="28.05" customHeight="1">
      <c r="A39" s="1"/>
      <c r="B39" s="1"/>
      <c r="C39" s="1"/>
      <c r="D39" s="1"/>
      <c r="E39" s="1"/>
      <c r="F39" s="1"/>
      <c r="G39" s="1"/>
      <c r="H39" s="1"/>
    </row>
    <row r="40" spans="1:8" ht="28.05" customHeight="1">
      <c r="A40" s="1"/>
      <c r="B40" s="1"/>
      <c r="C40" s="1"/>
      <c r="D40" s="1"/>
      <c r="E40" s="1"/>
      <c r="F40" s="1"/>
      <c r="G40" s="1"/>
      <c r="H40" s="1"/>
    </row>
  </sheetData>
  <phoneticPr fontId="17" type="noConversion"/>
  <conditionalFormatting sqref="B5:B8">
    <cfRule type="expression" dxfId="2" priority="1">
      <formula>AND(ISNUMBER(B5),B5&lt;0)</formula>
    </cfRule>
  </conditionalFormatting>
  <pageMargins left="0.7" right="0.7" top="0.75" bottom="0.75" header="0.3" footer="0.3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216B60"/>
  </sheetPr>
  <dimension ref="A1:H40"/>
  <sheetViews>
    <sheetView showGridLines="0" workbookViewId="0"/>
  </sheetViews>
  <sheetFormatPr defaultRowHeight="13.8"/>
  <cols>
    <col min="1" max="1" width="39" customWidth="1"/>
    <col min="2" max="2" width="22" customWidth="1"/>
    <col min="3" max="8" width="19" customWidth="1"/>
  </cols>
  <sheetData>
    <row r="1" spans="1:8" ht="28.05" customHeight="1">
      <c r="A1" s="1"/>
      <c r="B1" s="1"/>
      <c r="C1" s="1"/>
      <c r="D1" s="1"/>
      <c r="E1" s="1"/>
      <c r="F1" s="1"/>
      <c r="G1" s="1"/>
      <c r="H1" s="1"/>
    </row>
    <row r="2" spans="1:8" ht="48" customHeight="1">
      <c r="A2" s="18" t="s">
        <v>258</v>
      </c>
      <c r="B2" s="8"/>
      <c r="C2" s="1"/>
      <c r="D2" s="1"/>
      <c r="E2" s="1"/>
      <c r="F2" s="1"/>
      <c r="G2" s="1"/>
      <c r="H2" s="1"/>
    </row>
    <row r="3" spans="1:8" ht="28.05" customHeight="1">
      <c r="A3" s="1"/>
      <c r="B3" s="1"/>
      <c r="C3" s="1"/>
      <c r="D3" s="1"/>
      <c r="E3" s="1"/>
      <c r="F3" s="1"/>
      <c r="G3" s="1"/>
      <c r="H3" s="1"/>
    </row>
    <row r="4" spans="1:8" ht="28.05" customHeight="1">
      <c r="A4" s="2" t="s">
        <v>259</v>
      </c>
      <c r="B4" s="2" t="s">
        <v>247</v>
      </c>
      <c r="C4" s="1"/>
      <c r="D4" s="2" t="s">
        <v>260</v>
      </c>
      <c r="E4" s="2" t="s">
        <v>261</v>
      </c>
      <c r="F4" s="1"/>
      <c r="G4" s="1"/>
      <c r="H4" s="1"/>
    </row>
    <row r="5" spans="1:8" ht="42" customHeight="1">
      <c r="A5" s="1" t="s">
        <v>55</v>
      </c>
      <c r="B5" s="27">
        <f>IFERROR(IF(AND(COUNT(B13:B19)=7,MIN(B13:B19)&gt;=0,B15&lt;100,MOD(B19,1)=0),B13*(1-B15/100)-B14-B16,"입력 확인"),"입력 확인")</f>
        <v>6880</v>
      </c>
      <c r="C5" s="1"/>
      <c r="D5" s="3">
        <v>25</v>
      </c>
      <c r="E5" s="29">
        <f t="shared" ref="E5:E10" si="0">IFERROR($B$5*D5-$B$17,"입력 확인")</f>
        <v>-28000</v>
      </c>
      <c r="F5" s="1"/>
      <c r="G5" s="1"/>
      <c r="H5" s="1"/>
    </row>
    <row r="6" spans="1:8" ht="42" customHeight="1">
      <c r="A6" s="1" t="s">
        <v>262</v>
      </c>
      <c r="B6" s="27">
        <f>IFERROR(IF(B5&gt;0,ROUNDUP(ROUND(B17/B5,8),0),"기여금 양수 필요"),"입력 확인")</f>
        <v>30</v>
      </c>
      <c r="C6" s="1"/>
      <c r="D6" s="3">
        <v>50</v>
      </c>
      <c r="E6" s="29">
        <f t="shared" si="0"/>
        <v>144000</v>
      </c>
      <c r="F6" s="1"/>
      <c r="G6" s="1"/>
      <c r="H6" s="1"/>
    </row>
    <row r="7" spans="1:8" ht="42" customHeight="1">
      <c r="A7" s="1" t="s">
        <v>263</v>
      </c>
      <c r="B7" s="27">
        <f>IFERROR(IF(B5&gt;0,ROUNDUP(ROUND((B17+B18)/B5,8),0),"기여금 양수 필요"),"입력 확인")</f>
        <v>73</v>
      </c>
      <c r="C7" s="1"/>
      <c r="D7" s="3">
        <v>75</v>
      </c>
      <c r="E7" s="29">
        <f t="shared" si="0"/>
        <v>316000</v>
      </c>
      <c r="F7" s="1"/>
      <c r="G7" s="1"/>
      <c r="H7" s="1"/>
    </row>
    <row r="8" spans="1:8" ht="42" customHeight="1">
      <c r="A8" s="1" t="s">
        <v>264</v>
      </c>
      <c r="B8" s="27">
        <f>IFERROR(B5*B19-B17,"입력 확인")</f>
        <v>488000</v>
      </c>
      <c r="C8" s="1"/>
      <c r="D8" s="3">
        <v>100</v>
      </c>
      <c r="E8" s="29">
        <f t="shared" si="0"/>
        <v>488000</v>
      </c>
      <c r="F8" s="1"/>
      <c r="G8" s="1"/>
      <c r="H8" s="1"/>
    </row>
    <row r="9" spans="1:8" ht="28.05" customHeight="1">
      <c r="A9" s="1"/>
      <c r="B9" s="1"/>
      <c r="C9" s="1"/>
      <c r="D9" s="3">
        <v>125</v>
      </c>
      <c r="E9" s="29">
        <f t="shared" si="0"/>
        <v>660000</v>
      </c>
      <c r="F9" s="1"/>
      <c r="G9" s="1"/>
      <c r="H9" s="1"/>
    </row>
    <row r="10" spans="1:8" ht="28.05" customHeight="1">
      <c r="A10" s="1"/>
      <c r="B10" s="1"/>
      <c r="C10" s="1"/>
      <c r="D10" s="3">
        <v>150</v>
      </c>
      <c r="E10" s="29">
        <f t="shared" si="0"/>
        <v>832000</v>
      </c>
      <c r="F10" s="1"/>
      <c r="G10" s="1"/>
      <c r="H10" s="1"/>
    </row>
    <row r="11" spans="1:8" ht="28.05" customHeight="1">
      <c r="A11" s="1"/>
      <c r="B11" s="1"/>
      <c r="C11" s="1"/>
      <c r="D11" s="1"/>
      <c r="E11" s="29"/>
      <c r="F11" s="1"/>
      <c r="G11" s="1"/>
      <c r="H11" s="1"/>
    </row>
    <row r="12" spans="1:8" ht="28.05" customHeight="1">
      <c r="A12" s="2" t="s">
        <v>61</v>
      </c>
      <c r="B12" s="30" t="s">
        <v>51</v>
      </c>
      <c r="C12" s="1"/>
      <c r="D12" s="1"/>
      <c r="E12" s="1"/>
      <c r="F12" s="1"/>
      <c r="G12" s="1"/>
      <c r="H12" s="1"/>
    </row>
    <row r="13" spans="1:8" ht="28.05" customHeight="1">
      <c r="A13" s="1" t="s">
        <v>265</v>
      </c>
      <c r="B13" s="5">
        <v>27000</v>
      </c>
      <c r="C13" s="1"/>
      <c r="D13" s="1"/>
      <c r="E13" s="1"/>
      <c r="F13" s="1"/>
      <c r="G13" s="1"/>
      <c r="H13" s="1"/>
    </row>
    <row r="14" spans="1:8" ht="28.05" customHeight="1">
      <c r="A14" s="1" t="s">
        <v>65</v>
      </c>
      <c r="B14" s="5">
        <v>15000</v>
      </c>
      <c r="C14" s="1"/>
      <c r="D14" s="1"/>
      <c r="E14" s="1"/>
      <c r="F14" s="1"/>
      <c r="G14" s="1"/>
      <c r="H14" s="1"/>
    </row>
    <row r="15" spans="1:8" ht="28.05" customHeight="1">
      <c r="A15" s="1" t="s">
        <v>66</v>
      </c>
      <c r="B15" s="5">
        <v>6</v>
      </c>
      <c r="C15" s="1"/>
      <c r="D15" s="1"/>
      <c r="E15" s="1"/>
      <c r="F15" s="1"/>
      <c r="G15" s="1"/>
      <c r="H15" s="1"/>
    </row>
    <row r="16" spans="1:8" ht="28.05" customHeight="1">
      <c r="A16" s="1" t="s">
        <v>67</v>
      </c>
      <c r="B16" s="5">
        <v>3500</v>
      </c>
      <c r="C16" s="1"/>
      <c r="D16" s="1"/>
      <c r="E16" s="1"/>
      <c r="F16" s="1"/>
      <c r="G16" s="1"/>
      <c r="H16" s="1"/>
    </row>
    <row r="17" spans="1:8" ht="28.05" customHeight="1">
      <c r="A17" s="1" t="s">
        <v>266</v>
      </c>
      <c r="B17" s="5">
        <v>200000</v>
      </c>
      <c r="C17" s="1"/>
      <c r="D17" s="1"/>
      <c r="E17" s="1"/>
      <c r="F17" s="1"/>
      <c r="G17" s="1"/>
      <c r="H17" s="1"/>
    </row>
    <row r="18" spans="1:8" ht="28.05" customHeight="1">
      <c r="A18" s="1" t="s">
        <v>267</v>
      </c>
      <c r="B18" s="5">
        <v>300000</v>
      </c>
      <c r="C18" s="1"/>
      <c r="D18" s="1"/>
      <c r="E18" s="1"/>
      <c r="F18" s="1"/>
      <c r="G18" s="1"/>
      <c r="H18" s="1"/>
    </row>
    <row r="19" spans="1:8" ht="28.05" customHeight="1">
      <c r="A19" s="1" t="s">
        <v>268</v>
      </c>
      <c r="B19" s="5">
        <v>100</v>
      </c>
      <c r="C19" s="1"/>
      <c r="D19" s="1"/>
      <c r="E19" s="1"/>
      <c r="F19" s="1"/>
      <c r="G19" s="1"/>
      <c r="H19" s="1"/>
    </row>
    <row r="20" spans="1:8" ht="28.05" customHeight="1">
      <c r="A20" s="19"/>
      <c r="B20" s="19"/>
      <c r="C20" s="1"/>
      <c r="D20" s="1"/>
      <c r="E20" s="1"/>
      <c r="F20" s="1"/>
      <c r="G20" s="1"/>
      <c r="H20" s="1"/>
    </row>
    <row r="21" spans="1:8" ht="28.05" customHeight="1">
      <c r="A21" s="19"/>
      <c r="B21" s="19"/>
      <c r="C21" s="1"/>
      <c r="D21" s="1"/>
      <c r="E21" s="1"/>
      <c r="F21" s="1"/>
      <c r="G21" s="1"/>
      <c r="H21" s="1"/>
    </row>
    <row r="22" spans="1:8" ht="28.05" customHeight="1">
      <c r="A22" s="19" t="s">
        <v>269</v>
      </c>
      <c r="B22" s="19"/>
      <c r="C22" s="1"/>
      <c r="D22" s="1"/>
      <c r="E22" s="1"/>
      <c r="F22" s="1"/>
      <c r="G22" s="1"/>
      <c r="H22" s="1"/>
    </row>
    <row r="23" spans="1:8" ht="28.05" customHeight="1">
      <c r="A23" s="19" t="s">
        <v>270</v>
      </c>
      <c r="B23" s="19"/>
      <c r="C23" s="1"/>
      <c r="D23" s="1"/>
      <c r="E23" s="1"/>
      <c r="F23" s="1"/>
      <c r="G23" s="1"/>
      <c r="H23" s="1"/>
    </row>
    <row r="24" spans="1:8" ht="28.05" customHeight="1">
      <c r="A24" s="1"/>
      <c r="B24" s="1"/>
      <c r="C24" s="1"/>
      <c r="D24" s="1"/>
      <c r="E24" s="1"/>
      <c r="F24" s="1"/>
      <c r="G24" s="1"/>
      <c r="H24" s="1"/>
    </row>
    <row r="25" spans="1:8" ht="28.05" customHeight="1">
      <c r="A25" s="1"/>
      <c r="B25" s="1"/>
      <c r="C25" s="1"/>
      <c r="D25" s="1"/>
      <c r="E25" s="1"/>
      <c r="F25" s="1"/>
      <c r="G25" s="1"/>
      <c r="H25" s="1"/>
    </row>
    <row r="26" spans="1:8" ht="28.05" customHeight="1">
      <c r="A26" s="1"/>
      <c r="B26" s="1"/>
      <c r="C26" s="1"/>
      <c r="D26" s="1"/>
      <c r="E26" s="1"/>
      <c r="F26" s="1"/>
      <c r="G26" s="1"/>
      <c r="H26" s="1"/>
    </row>
    <row r="27" spans="1:8" ht="28.05" customHeight="1">
      <c r="A27" s="1"/>
      <c r="B27" s="1"/>
      <c r="C27" s="1"/>
      <c r="D27" s="1"/>
      <c r="E27" s="1"/>
      <c r="F27" s="1"/>
      <c r="G27" s="1"/>
      <c r="H27" s="1"/>
    </row>
    <row r="28" spans="1:8" ht="28.05" customHeight="1">
      <c r="A28" s="1"/>
      <c r="B28" s="1"/>
      <c r="C28" s="1"/>
      <c r="D28" s="1"/>
      <c r="E28" s="1"/>
      <c r="F28" s="1"/>
      <c r="G28" s="1"/>
      <c r="H28" s="1"/>
    </row>
    <row r="29" spans="1:8" ht="28.05" customHeight="1">
      <c r="A29" s="1"/>
      <c r="B29" s="1"/>
      <c r="C29" s="1"/>
      <c r="D29" s="1"/>
      <c r="E29" s="1"/>
      <c r="F29" s="1"/>
      <c r="G29" s="1"/>
      <c r="H29" s="1"/>
    </row>
    <row r="30" spans="1:8" ht="28.05" customHeight="1">
      <c r="A30" s="1"/>
      <c r="B30" s="1"/>
      <c r="C30" s="1"/>
      <c r="D30" s="1"/>
      <c r="E30" s="1"/>
      <c r="F30" s="1"/>
      <c r="G30" s="1"/>
      <c r="H30" s="1"/>
    </row>
    <row r="31" spans="1:8" ht="28.05" customHeight="1">
      <c r="A31" s="1"/>
      <c r="B31" s="1"/>
      <c r="C31" s="1"/>
      <c r="D31" s="1"/>
      <c r="E31" s="1"/>
      <c r="F31" s="1"/>
      <c r="G31" s="1"/>
      <c r="H31" s="1"/>
    </row>
    <row r="32" spans="1:8" ht="28.05" customHeight="1">
      <c r="A32" s="1"/>
      <c r="B32" s="1"/>
      <c r="C32" s="1"/>
      <c r="D32" s="1"/>
      <c r="E32" s="1"/>
      <c r="F32" s="1"/>
      <c r="G32" s="1"/>
      <c r="H32" s="1"/>
    </row>
    <row r="33" spans="1:8" ht="28.05" customHeight="1">
      <c r="A33" s="1"/>
      <c r="B33" s="1"/>
      <c r="C33" s="1"/>
      <c r="D33" s="1"/>
      <c r="E33" s="1"/>
      <c r="F33" s="1"/>
      <c r="G33" s="1"/>
      <c r="H33" s="1"/>
    </row>
    <row r="34" spans="1:8" ht="28.05" customHeight="1">
      <c r="A34" s="1"/>
      <c r="B34" s="1"/>
      <c r="C34" s="1"/>
      <c r="D34" s="1"/>
      <c r="E34" s="1"/>
      <c r="F34" s="1"/>
      <c r="G34" s="1"/>
      <c r="H34" s="1"/>
    </row>
    <row r="35" spans="1:8" ht="28.05" customHeight="1">
      <c r="A35" s="1"/>
      <c r="B35" s="1"/>
      <c r="C35" s="1"/>
      <c r="D35" s="1"/>
      <c r="E35" s="1"/>
      <c r="F35" s="1"/>
      <c r="G35" s="1"/>
      <c r="H35" s="1"/>
    </row>
    <row r="36" spans="1:8" ht="28.05" customHeight="1">
      <c r="A36" s="1"/>
      <c r="B36" s="1"/>
      <c r="C36" s="1"/>
      <c r="D36" s="1"/>
      <c r="E36" s="1"/>
      <c r="F36" s="1"/>
      <c r="G36" s="1"/>
      <c r="H36" s="1"/>
    </row>
    <row r="37" spans="1:8" ht="28.05" customHeight="1">
      <c r="A37" s="1"/>
      <c r="B37" s="1"/>
      <c r="C37" s="1"/>
      <c r="D37" s="1"/>
      <c r="E37" s="1"/>
      <c r="F37" s="1"/>
      <c r="G37" s="1"/>
      <c r="H37" s="1"/>
    </row>
    <row r="38" spans="1:8" ht="28.05" customHeight="1">
      <c r="A38" s="1"/>
      <c r="B38" s="1"/>
      <c r="C38" s="1"/>
      <c r="D38" s="1"/>
      <c r="E38" s="1"/>
      <c r="F38" s="1"/>
      <c r="G38" s="1"/>
      <c r="H38" s="1"/>
    </row>
    <row r="39" spans="1:8" ht="28.05" customHeight="1">
      <c r="A39" s="1"/>
      <c r="B39" s="1"/>
      <c r="C39" s="1"/>
      <c r="D39" s="1"/>
      <c r="E39" s="1"/>
      <c r="F39" s="1"/>
      <c r="G39" s="1"/>
      <c r="H39" s="1"/>
    </row>
    <row r="40" spans="1:8" ht="28.05" customHeight="1">
      <c r="A40" s="1"/>
      <c r="B40" s="1"/>
      <c r="C40" s="1"/>
      <c r="D40" s="1"/>
      <c r="E40" s="1"/>
      <c r="F40" s="1"/>
      <c r="G40" s="1"/>
      <c r="H40" s="1"/>
    </row>
  </sheetData>
  <phoneticPr fontId="17" type="noConversion"/>
  <conditionalFormatting sqref="B5:B8">
    <cfRule type="expression" dxfId="1" priority="1">
      <formula>AND(ISNUMBER(B5),B5&lt;0)</formula>
    </cfRule>
  </conditionalFormatting>
  <pageMargins left="0.7" right="0.7" top="0.75" bottom="0.75" header="0.3" footer="0.3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216B60"/>
  </sheetPr>
  <dimension ref="A1:M30"/>
  <sheetViews>
    <sheetView showGridLines="0" workbookViewId="0">
      <pane ySplit="9" topLeftCell="A10" activePane="bottomLeft" state="frozen"/>
      <selection pane="bottomLeft"/>
    </sheetView>
  </sheetViews>
  <sheetFormatPr defaultRowHeight="13.8"/>
  <cols>
    <col min="1" max="1" width="23" customWidth="1"/>
    <col min="2" max="12" width="18" customWidth="1"/>
    <col min="13" max="13" width="19" customWidth="1"/>
  </cols>
  <sheetData>
    <row r="1" spans="1:13" ht="28.0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spans="1:13" ht="43.95" customHeight="1">
      <c r="A2" s="18" t="s">
        <v>271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1"/>
    </row>
    <row r="3" spans="1:13" ht="28.05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</row>
    <row r="4" spans="1:13" ht="28.05" customHeight="1">
      <c r="A4" s="1" t="s">
        <v>272</v>
      </c>
      <c r="B4" s="1"/>
      <c r="C4" s="31">
        <f>IF(COUNT(L10:L19)=10,SUM(L10:L19),"입력 확인")</f>
        <v>8930000</v>
      </c>
      <c r="D4" s="1"/>
      <c r="E4" s="1" t="s">
        <v>273</v>
      </c>
      <c r="F4" s="1"/>
      <c r="G4" s="31">
        <f>IF(COUNT(J10:J19)=10,SUM(J10:J19),"입력 확인")</f>
        <v>34500000</v>
      </c>
      <c r="H4" s="1"/>
      <c r="I4" s="1"/>
      <c r="J4" s="1"/>
      <c r="K4" s="1"/>
      <c r="L4" s="1"/>
      <c r="M4" s="1"/>
    </row>
    <row r="5" spans="1:13" ht="28.05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</row>
    <row r="6" spans="1:13" ht="28.05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</row>
    <row r="7" spans="1:13" ht="28.05" customHeight="1">
      <c r="A7" s="1" t="s">
        <v>274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</row>
    <row r="8" spans="1:13" ht="28.05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</row>
    <row r="9" spans="1:13" ht="42" customHeight="1">
      <c r="A9" s="32" t="s">
        <v>275</v>
      </c>
      <c r="B9" s="32" t="s">
        <v>276</v>
      </c>
      <c r="C9" s="32" t="s">
        <v>277</v>
      </c>
      <c r="D9" s="32" t="s">
        <v>278</v>
      </c>
      <c r="E9" s="32" t="s">
        <v>279</v>
      </c>
      <c r="F9" s="32" t="s">
        <v>280</v>
      </c>
      <c r="G9" s="32" t="s">
        <v>281</v>
      </c>
      <c r="H9" s="32" t="s">
        <v>282</v>
      </c>
      <c r="I9" s="32" t="s">
        <v>283</v>
      </c>
      <c r="J9" s="32" t="s">
        <v>284</v>
      </c>
      <c r="K9" s="32" t="s">
        <v>285</v>
      </c>
      <c r="L9" s="32" t="s">
        <v>286</v>
      </c>
      <c r="M9" s="1"/>
    </row>
    <row r="10" spans="1:13" ht="33" customHeight="1">
      <c r="A10" s="33" t="s">
        <v>287</v>
      </c>
      <c r="B10" s="34">
        <v>30000</v>
      </c>
      <c r="C10" s="34">
        <v>15000</v>
      </c>
      <c r="D10" s="34">
        <v>6</v>
      </c>
      <c r="E10" s="34">
        <v>3500</v>
      </c>
      <c r="F10" s="34">
        <v>100</v>
      </c>
      <c r="G10" s="34">
        <v>500000</v>
      </c>
      <c r="H10" s="6">
        <f t="shared" ref="H10:H19" si="0">IFERROR(IF(AND(COUNT(B10:G10)=6,MIN(B10:G10)&gt;=0,B10&gt;0,D10&lt;100,MOD(F10,1)=0),B10*(1-D10/100)-C10-E10,"입력 확인"),"입력 확인")</f>
        <v>9700</v>
      </c>
      <c r="I10" s="7">
        <f t="shared" ref="I10:I19" si="1">IFERROR(H10/B10*100,"입력 확인")</f>
        <v>32.333333333333329</v>
      </c>
      <c r="J10" s="6">
        <f t="shared" ref="J10:J19" si="2">IFERROR(IF(ISNUMBER(H10),B10*F10,"입력 확인"),"입력 확인")</f>
        <v>3000000</v>
      </c>
      <c r="K10" s="6">
        <f t="shared" ref="K10:K19" si="3">IFERROR(H10*F10,"입력 확인")</f>
        <v>970000</v>
      </c>
      <c r="L10" s="6">
        <f t="shared" ref="L10:L19" si="4">IFERROR(K10-G10,"입력 확인")</f>
        <v>470000</v>
      </c>
      <c r="M10" s="1"/>
    </row>
    <row r="11" spans="1:13" ht="33" customHeight="1">
      <c r="A11" s="33" t="s">
        <v>288</v>
      </c>
      <c r="B11" s="34">
        <v>31000</v>
      </c>
      <c r="C11" s="34">
        <v>15000</v>
      </c>
      <c r="D11" s="34">
        <v>6</v>
      </c>
      <c r="E11" s="34">
        <v>3500</v>
      </c>
      <c r="F11" s="34">
        <v>100</v>
      </c>
      <c r="G11" s="34">
        <v>500000</v>
      </c>
      <c r="H11" s="6">
        <f t="shared" si="0"/>
        <v>10640</v>
      </c>
      <c r="I11" s="7">
        <f t="shared" si="1"/>
        <v>34.322580645161288</v>
      </c>
      <c r="J11" s="6">
        <f t="shared" si="2"/>
        <v>3100000</v>
      </c>
      <c r="K11" s="6">
        <f t="shared" si="3"/>
        <v>1064000</v>
      </c>
      <c r="L11" s="6">
        <f t="shared" si="4"/>
        <v>564000</v>
      </c>
      <c r="M11" s="1"/>
    </row>
    <row r="12" spans="1:13" ht="33" customHeight="1">
      <c r="A12" s="33" t="s">
        <v>289</v>
      </c>
      <c r="B12" s="34">
        <v>32000</v>
      </c>
      <c r="C12" s="34">
        <v>15000</v>
      </c>
      <c r="D12" s="34">
        <v>6</v>
      </c>
      <c r="E12" s="34">
        <v>3500</v>
      </c>
      <c r="F12" s="34">
        <v>100</v>
      </c>
      <c r="G12" s="34">
        <v>500000</v>
      </c>
      <c r="H12" s="6">
        <f t="shared" si="0"/>
        <v>11580</v>
      </c>
      <c r="I12" s="7">
        <f t="shared" si="1"/>
        <v>36.1875</v>
      </c>
      <c r="J12" s="6">
        <f t="shared" si="2"/>
        <v>3200000</v>
      </c>
      <c r="K12" s="6">
        <f t="shared" si="3"/>
        <v>1158000</v>
      </c>
      <c r="L12" s="6">
        <f t="shared" si="4"/>
        <v>658000</v>
      </c>
      <c r="M12" s="1"/>
    </row>
    <row r="13" spans="1:13" ht="33" customHeight="1">
      <c r="A13" s="33" t="s">
        <v>290</v>
      </c>
      <c r="B13" s="34">
        <v>33000</v>
      </c>
      <c r="C13" s="34">
        <v>15000</v>
      </c>
      <c r="D13" s="34">
        <v>6</v>
      </c>
      <c r="E13" s="34">
        <v>3500</v>
      </c>
      <c r="F13" s="34">
        <v>100</v>
      </c>
      <c r="G13" s="34">
        <v>500000</v>
      </c>
      <c r="H13" s="6">
        <f t="shared" si="0"/>
        <v>12520</v>
      </c>
      <c r="I13" s="7">
        <f t="shared" si="1"/>
        <v>37.939393939393938</v>
      </c>
      <c r="J13" s="6">
        <f t="shared" si="2"/>
        <v>3300000</v>
      </c>
      <c r="K13" s="6">
        <f t="shared" si="3"/>
        <v>1252000</v>
      </c>
      <c r="L13" s="6">
        <f t="shared" si="4"/>
        <v>752000</v>
      </c>
      <c r="M13" s="1"/>
    </row>
    <row r="14" spans="1:13" ht="33" customHeight="1">
      <c r="A14" s="33" t="s">
        <v>291</v>
      </c>
      <c r="B14" s="34">
        <v>34000</v>
      </c>
      <c r="C14" s="34">
        <v>15000</v>
      </c>
      <c r="D14" s="34">
        <v>6</v>
      </c>
      <c r="E14" s="34">
        <v>3500</v>
      </c>
      <c r="F14" s="34">
        <v>100</v>
      </c>
      <c r="G14" s="34">
        <v>500000</v>
      </c>
      <c r="H14" s="6">
        <f t="shared" si="0"/>
        <v>13460</v>
      </c>
      <c r="I14" s="7">
        <f t="shared" si="1"/>
        <v>39.588235294117645</v>
      </c>
      <c r="J14" s="6">
        <f t="shared" si="2"/>
        <v>3400000</v>
      </c>
      <c r="K14" s="6">
        <f t="shared" si="3"/>
        <v>1346000</v>
      </c>
      <c r="L14" s="6">
        <f t="shared" si="4"/>
        <v>846000</v>
      </c>
      <c r="M14" s="1"/>
    </row>
    <row r="15" spans="1:13" ht="33" customHeight="1">
      <c r="A15" s="33" t="s">
        <v>292</v>
      </c>
      <c r="B15" s="34">
        <v>35000</v>
      </c>
      <c r="C15" s="34">
        <v>15000</v>
      </c>
      <c r="D15" s="34">
        <v>6</v>
      </c>
      <c r="E15" s="34">
        <v>3500</v>
      </c>
      <c r="F15" s="34">
        <v>100</v>
      </c>
      <c r="G15" s="34">
        <v>500000</v>
      </c>
      <c r="H15" s="6">
        <f t="shared" si="0"/>
        <v>14400</v>
      </c>
      <c r="I15" s="7">
        <f t="shared" si="1"/>
        <v>41.142857142857139</v>
      </c>
      <c r="J15" s="6">
        <f t="shared" si="2"/>
        <v>3500000</v>
      </c>
      <c r="K15" s="6">
        <f t="shared" si="3"/>
        <v>1440000</v>
      </c>
      <c r="L15" s="6">
        <f t="shared" si="4"/>
        <v>940000</v>
      </c>
      <c r="M15" s="1"/>
    </row>
    <row r="16" spans="1:13" ht="33" customHeight="1">
      <c r="A16" s="33" t="s">
        <v>293</v>
      </c>
      <c r="B16" s="34">
        <v>36000</v>
      </c>
      <c r="C16" s="34">
        <v>15000</v>
      </c>
      <c r="D16" s="34">
        <v>6</v>
      </c>
      <c r="E16" s="34">
        <v>3500</v>
      </c>
      <c r="F16" s="34">
        <v>100</v>
      </c>
      <c r="G16" s="34">
        <v>500000</v>
      </c>
      <c r="H16" s="6">
        <f t="shared" si="0"/>
        <v>15340</v>
      </c>
      <c r="I16" s="7">
        <f t="shared" si="1"/>
        <v>42.611111111111114</v>
      </c>
      <c r="J16" s="6">
        <f t="shared" si="2"/>
        <v>3600000</v>
      </c>
      <c r="K16" s="6">
        <f t="shared" si="3"/>
        <v>1534000</v>
      </c>
      <c r="L16" s="6">
        <f t="shared" si="4"/>
        <v>1034000</v>
      </c>
      <c r="M16" s="1"/>
    </row>
    <row r="17" spans="1:13" ht="33" customHeight="1">
      <c r="A17" s="33" t="s">
        <v>294</v>
      </c>
      <c r="B17" s="34">
        <v>37000</v>
      </c>
      <c r="C17" s="34">
        <v>15000</v>
      </c>
      <c r="D17" s="34">
        <v>6</v>
      </c>
      <c r="E17" s="34">
        <v>3500</v>
      </c>
      <c r="F17" s="34">
        <v>100</v>
      </c>
      <c r="G17" s="34">
        <v>500000</v>
      </c>
      <c r="H17" s="6">
        <f t="shared" si="0"/>
        <v>16280</v>
      </c>
      <c r="I17" s="7">
        <f t="shared" si="1"/>
        <v>44</v>
      </c>
      <c r="J17" s="6">
        <f t="shared" si="2"/>
        <v>3700000</v>
      </c>
      <c r="K17" s="6">
        <f t="shared" si="3"/>
        <v>1628000</v>
      </c>
      <c r="L17" s="6">
        <f t="shared" si="4"/>
        <v>1128000</v>
      </c>
      <c r="M17" s="1"/>
    </row>
    <row r="18" spans="1:13" ht="33" customHeight="1">
      <c r="A18" s="33" t="s">
        <v>295</v>
      </c>
      <c r="B18" s="34">
        <v>38000</v>
      </c>
      <c r="C18" s="34">
        <v>15000</v>
      </c>
      <c r="D18" s="34">
        <v>6</v>
      </c>
      <c r="E18" s="34">
        <v>3500</v>
      </c>
      <c r="F18" s="34">
        <v>100</v>
      </c>
      <c r="G18" s="34">
        <v>500000</v>
      </c>
      <c r="H18" s="6">
        <f t="shared" si="0"/>
        <v>17220</v>
      </c>
      <c r="I18" s="7">
        <f t="shared" si="1"/>
        <v>45.315789473684212</v>
      </c>
      <c r="J18" s="6">
        <f t="shared" si="2"/>
        <v>3800000</v>
      </c>
      <c r="K18" s="6">
        <f t="shared" si="3"/>
        <v>1722000</v>
      </c>
      <c r="L18" s="6">
        <f t="shared" si="4"/>
        <v>1222000</v>
      </c>
      <c r="M18" s="1"/>
    </row>
    <row r="19" spans="1:13" ht="33" customHeight="1">
      <c r="A19" s="33" t="s">
        <v>296</v>
      </c>
      <c r="B19" s="34">
        <v>39000</v>
      </c>
      <c r="C19" s="34">
        <v>15000</v>
      </c>
      <c r="D19" s="34">
        <v>6</v>
      </c>
      <c r="E19" s="34">
        <v>3500</v>
      </c>
      <c r="F19" s="34">
        <v>100</v>
      </c>
      <c r="G19" s="34">
        <v>500000</v>
      </c>
      <c r="H19" s="6">
        <f t="shared" si="0"/>
        <v>18160</v>
      </c>
      <c r="I19" s="7">
        <f t="shared" si="1"/>
        <v>46.564102564102569</v>
      </c>
      <c r="J19" s="6">
        <f t="shared" si="2"/>
        <v>3900000</v>
      </c>
      <c r="K19" s="6">
        <f t="shared" si="3"/>
        <v>1816000</v>
      </c>
      <c r="L19" s="6">
        <f t="shared" si="4"/>
        <v>1316000</v>
      </c>
      <c r="M19" s="1"/>
    </row>
    <row r="20" spans="1:13" ht="28.05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</row>
    <row r="21" spans="1:13" ht="28.0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</row>
    <row r="22" spans="1:13" ht="28.05" customHeight="1">
      <c r="A22" s="1" t="s">
        <v>297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</row>
    <row r="23" spans="1:13" ht="28.0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</row>
    <row r="24" spans="1:13" ht="28.0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</row>
    <row r="25" spans="1:13" ht="28.0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</row>
    <row r="26" spans="1:13" ht="28.0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</row>
    <row r="27" spans="1:13" ht="28.0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</row>
    <row r="28" spans="1:13" ht="28.0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</row>
    <row r="29" spans="1:13" ht="28.0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</row>
    <row r="30" spans="1:13" ht="28.0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</row>
  </sheetData>
  <phoneticPr fontId="17" type="noConversion"/>
  <conditionalFormatting sqref="L10:L19">
    <cfRule type="expression" dxfId="0" priority="1">
      <formula>L10&lt;0</formula>
    </cfRule>
  </conditionalFormatting>
  <dataValidations count="2">
    <dataValidation type="whole" sqref="F10:F19" xr:uid="{00000000-0002-0000-1400-000000000000}">
      <formula1>0</formula1>
      <formula2>1000000000</formula2>
    </dataValidation>
    <dataValidation type="decimal" sqref="D10:D19" xr:uid="{00000000-0002-0000-1400-000001000000}">
      <formula1>0</formula1>
      <formula2>99.99</formula2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21</vt:i4>
      </vt:variant>
    </vt:vector>
  </HeadingPairs>
  <TitlesOfParts>
    <vt:vector size="21" baseType="lpstr">
      <vt:lpstr>시작</vt:lpstr>
      <vt:lpstr>001</vt:lpstr>
      <vt:lpstr>002</vt:lpstr>
      <vt:lpstr>003</vt:lpstr>
      <vt:lpstr>004</vt:lpstr>
      <vt:lpstr>005</vt:lpstr>
      <vt:lpstr>006</vt:lpstr>
      <vt:lpstr>007</vt:lpstr>
      <vt:lpstr>008</vt:lpstr>
      <vt:lpstr>009</vt:lpstr>
      <vt:lpstr>010</vt:lpstr>
      <vt:lpstr>012</vt:lpstr>
      <vt:lpstr>013</vt:lpstr>
      <vt:lpstr>015</vt:lpstr>
      <vt:lpstr>016</vt:lpstr>
      <vt:lpstr>017</vt:lpstr>
      <vt:lpstr>018</vt:lpstr>
      <vt:lpstr>019</vt:lpstr>
      <vt:lpstr>목표판매가</vt:lpstr>
      <vt:lpstr>행사손익분기</vt:lpstr>
      <vt:lpstr>상품비교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H53225@365mak.com</cp:lastModifiedBy>
  <dcterms:created xsi:type="dcterms:W3CDTF">2026-09-08T07:32:58Z</dcterms:created>
  <dcterms:modified xsi:type="dcterms:W3CDTF">2026-09-08T07:32:58Z</dcterms:modified>
</cp:coreProperties>
</file>