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71419c823640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1" sheetId="1" r:id="Rf9a92c4f1dd44b04"/>
    <x:sheet xmlns:r="http://schemas.openxmlformats.org/officeDocument/2006/relationships" name="002" sheetId="2" r:id="R6f471dd64cb648dc"/>
    <x:sheet xmlns:r="http://schemas.openxmlformats.org/officeDocument/2006/relationships" name="003" sheetId="3" r:id="Ra6f7b003d6504012"/>
    <x:sheet xmlns:r="http://schemas.openxmlformats.org/officeDocument/2006/relationships" name="004" sheetId="4" r:id="R3376ef76aea04d4c"/>
    <x:sheet xmlns:r="http://schemas.openxmlformats.org/officeDocument/2006/relationships" name="005" sheetId="5" r:id="R8e65a534717f42d4"/>
    <x:sheet xmlns:r="http://schemas.openxmlformats.org/officeDocument/2006/relationships" name="006" sheetId="6" r:id="Rca0e875cc5444131"/>
    <x:sheet xmlns:r="http://schemas.openxmlformats.org/officeDocument/2006/relationships" name="007" sheetId="7" r:id="R847c85566b544625"/>
    <x:sheet xmlns:r="http://schemas.openxmlformats.org/officeDocument/2006/relationships" name="008" sheetId="8" r:id="R9c4d7cc7f4374951"/>
    <x:sheet xmlns:r="http://schemas.openxmlformats.org/officeDocument/2006/relationships" name="009" sheetId="9" r:id="R539b992f7e9e45ba"/>
    <x:sheet xmlns:r="http://schemas.openxmlformats.org/officeDocument/2006/relationships" name="010" sheetId="10" r:id="R376a28612f444434"/>
    <x:sheet xmlns:r="http://schemas.openxmlformats.org/officeDocument/2006/relationships" name="012" sheetId="11" r:id="R672233988b5641cc"/>
    <x:sheet xmlns:r="http://schemas.openxmlformats.org/officeDocument/2006/relationships" name="013" sheetId="12" r:id="Rd3187c7ebd03451a"/>
    <x:sheet xmlns:r="http://schemas.openxmlformats.org/officeDocument/2006/relationships" name="015" sheetId="13" r:id="R734a18c3299a4c8d"/>
    <x:sheet xmlns:r="http://schemas.openxmlformats.org/officeDocument/2006/relationships" name="016" sheetId="14" r:id="R8b9883e166304430"/>
    <x:sheet xmlns:r="http://schemas.openxmlformats.org/officeDocument/2006/relationships" name="017" sheetId="15" r:id="R4ee28c338dae40f9"/>
    <x:sheet xmlns:r="http://schemas.openxmlformats.org/officeDocument/2006/relationships" name="018" sheetId="16" r:id="R2f7c4b9df22c46bd"/>
    <x:sheet xmlns:r="http://schemas.openxmlformats.org/officeDocument/2006/relationships" name="019" sheetId="17" r:id="R5e37fd975cbd4dc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##"/>
    <x:numFmt numFmtId="201" formatCode="#,##0.00"/>
    <x:numFmt numFmtId="202" formatCode="#,##0;[Red](#,##0);0"/>
  </x:numFmts>
  <x:fonts count="4">
    <x:font>
      <x:sz val="11"/>
      <x:name val="Carlito"/>
    </x:font>
    <x:font>
      <x:sz val="11"/>
      <x:name val="Malgun Gothic"/>
    </x:font>
    <x:font>
      <x:sz val="16"/>
      <x:name val="Malgun Gothic"/>
    </x:font>
    <x:font>
      <x:sz val="11"/>
      <x:color rgb="FFFFFFFF"/>
      <x:name val="Malgun Gothic"/>
    </x:font>
  </x:fonts>
  <x:fills count="4">
    <x:fill>
      <x:patternFill patternType="none"/>
    </x:fill>
    <x:fill>
      <x:patternFill patternType="gray125"/>
    </x:fill>
    <x:fill>
      <x:patternFill patternType="solid">
        <x:fgColor rgb="FF17334A"/>
      </x:patternFill>
    </x:fill>
    <x:fill>
      <x:patternFill patternType="solid">
        <x:fgColor rgb="FFFFF2CC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1" fillId="2" borderId="0" xfId="0" applyNumberFormat="1" applyFont="1" applyFill="1" applyBorder="1"/>
    <x:xf numFmtId="0" fontId="3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1" fontId="1" fillId="0" borderId="0" xfId="0" applyNumberFormat="1" applyFont="1" applyFill="1" applyBorder="1"/>
    <x:xf numFmtId="202" fontId="1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84f5eb349d424e" /><Relationship Type="http://schemas.openxmlformats.org/officeDocument/2006/relationships/theme" Target="/xl/theme/theme1.xml" Id="Rbb727687ee544a53" /><Relationship Type="http://schemas.openxmlformats.org/officeDocument/2006/relationships/sharedStrings" Target="/xl/sharedStrings.xml" Id="Rea5526710fcf436e" /><Relationship Type="http://schemas.openxmlformats.org/officeDocument/2006/relationships/worksheet" Target="/xl/worksheets/sheet1.xml" Id="Rf9a92c4f1dd44b04" /><Relationship Type="http://schemas.openxmlformats.org/officeDocument/2006/relationships/worksheet" Target="/xl/worksheets/sheet2.xml" Id="R6f471dd64cb648dc" /><Relationship Type="http://schemas.openxmlformats.org/officeDocument/2006/relationships/worksheet" Target="/xl/worksheets/sheet3.xml" Id="Ra6f7b003d6504012" /><Relationship Type="http://schemas.openxmlformats.org/officeDocument/2006/relationships/worksheet" Target="/xl/worksheets/sheet4.xml" Id="R3376ef76aea04d4c" /><Relationship Type="http://schemas.openxmlformats.org/officeDocument/2006/relationships/worksheet" Target="/xl/worksheets/sheet5.xml" Id="R8e65a534717f42d4" /><Relationship Type="http://schemas.openxmlformats.org/officeDocument/2006/relationships/worksheet" Target="/xl/worksheets/sheet6.xml" Id="Rca0e875cc5444131" /><Relationship Type="http://schemas.openxmlformats.org/officeDocument/2006/relationships/worksheet" Target="/xl/worksheets/sheet7.xml" Id="R847c85566b544625" /><Relationship Type="http://schemas.openxmlformats.org/officeDocument/2006/relationships/worksheet" Target="/xl/worksheets/sheet8.xml" Id="R9c4d7cc7f4374951" /><Relationship Type="http://schemas.openxmlformats.org/officeDocument/2006/relationships/worksheet" Target="/xl/worksheets/sheet9.xml" Id="R539b992f7e9e45ba" /><Relationship Type="http://schemas.openxmlformats.org/officeDocument/2006/relationships/worksheet" Target="/xl/worksheets/sheet10.xml" Id="R376a28612f444434" /><Relationship Type="http://schemas.openxmlformats.org/officeDocument/2006/relationships/worksheet" Target="/xl/worksheets/sheet11.xml" Id="R672233988b5641cc" /><Relationship Type="http://schemas.openxmlformats.org/officeDocument/2006/relationships/worksheet" Target="/xl/worksheets/sheet12.xml" Id="Rd3187c7ebd03451a" /><Relationship Type="http://schemas.openxmlformats.org/officeDocument/2006/relationships/worksheet" Target="/xl/worksheets/sheet13.xml" Id="R734a18c3299a4c8d" /><Relationship Type="http://schemas.openxmlformats.org/officeDocument/2006/relationships/worksheet" Target="/xl/worksheets/sheet14.xml" Id="R8b9883e166304430" /><Relationship Type="http://schemas.openxmlformats.org/officeDocument/2006/relationships/worksheet" Target="/xl/worksheets/sheet15.xml" Id="R4ee28c338dae40f9" /><Relationship Type="http://schemas.openxmlformats.org/officeDocument/2006/relationships/worksheet" Target="/xl/worksheets/sheet16.xml" Id="R2f7c4b9df22c46bd" /><Relationship Type="http://schemas.openxmlformats.org/officeDocument/2006/relationships/worksheet" Target="/xl/worksheets/sheet17.xml" Id="R5e37fd975cbd4dc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  <x:col min="3" max="3" width="4" hidden="0" customWidth="1"/>
    <x:col min="4" max="4" width="50" hidden="0" customWidth="1"/>
  </x:cols>
  <x:sheetData>
    <x:row r="1" ht="26" customHeight="1">
      <x:c r="A1" s="1"/>
      <x:c r="B1" s="1"/>
      <x:c r="C1" s="1"/>
      <x:c r="D1" s="1"/>
    </x:row>
    <x:row r="2" ht="26" customHeight="1">
      <x:c r="A2" s="2" t="str">
        <x:v>001 실무 계산표</x:v>
      </x:c>
      <x:c r="B2" s="1"/>
      <x:c r="C2" s="1"/>
      <x:c r="D2" s="1" t="str">
        <x:v>팔아본 팀장의 실무노트</x:v>
      </x:c>
    </x:row>
    <x:row r="3" ht="26" customHeight="1">
      <x:c r="A3" s="1"/>
      <x:c r="B3" s="1"/>
      <x:c r="C3" s="1"/>
      <x:c r="D3" s="1"/>
    </x:row>
    <x:row r="4" ht="26" customHeight="1">
      <x:c r="A4" s="4" t="str">
        <x:v>계산 결과</x:v>
      </x:c>
      <x:c r="B4" s="4" t="str">
        <x:v>값</x:v>
      </x:c>
      <x:c r="C4" s="1"/>
      <x:c r="D4" s="1" t="str">
        <x:v>사용 방법</x:v>
      </x:c>
    </x:row>
    <x:row r="5" ht="26" customHeight="1">
      <x:c r="A5" s="1" t="str">
        <x:v>원가 차감 마진율 (%)</x:v>
      </x:c>
      <x:c r="B5" s="7" t="n">
        <x:f>IFERROR(IF(AND(COUNT(B14:B17)=4,MIN(B14:B17)&gt;=0,B16&lt;=100,B14&gt;0),(B14-B15)/B14*100,"입력 확인"),"입력 확인")</x:f>
        <x:v>50</x:v>
      </x:c>
      <x:c r="C5" s="1"/>
      <x:c r="D5" s="1" t="str">
        <x:v>시트 번호는 글 번호와 같습니다.</x:v>
      </x:c>
    </x:row>
    <x:row r="6" ht="26" customHeight="1">
      <x:c r="A6" s="1" t="str">
        <x:v>주문 기여금 (원)</x:v>
      </x:c>
      <x:c r="B6" s="8" t="n">
        <x:f>IFERROR(IF(AND(COUNT(B14:B17)=4,MIN(B14:B17)&gt;=0,B16&lt;=100,B14&gt;0),B14-B15-B14*B16/100-B17,"입력 확인"),"입력 확인")</x:f>
        <x:v>9700</x:v>
      </x:c>
      <x:c r="C6" s="1"/>
      <x:c r="D6" s="1" t="str">
        <x:v>입력은 예시값입니다. 내 숫자로 바꾸세요.</x:v>
      </x:c>
    </x:row>
    <x:row r="7" ht="26" customHeight="1">
      <x:c r="A7" s="1"/>
      <x:c r="B7" s="1"/>
      <x:c r="C7" s="1"/>
      <x:c r="D7" s="1" t="str">
        <x:v>비율은 6%라면 6을 입력합니다.</x:v>
      </x:c>
    </x:row>
    <x:row r="8" ht="26" customHeight="1">
      <x:c r="A8" s="1"/>
      <x:c r="B8" s="1"/>
      <x:c r="C8" s="1"/>
      <x:c r="D8" s="1" t="str">
        <x:v>현재 웹 입력값이 아닌 독립 엑셀 양식입니다.</x:v>
      </x:c>
    </x:row>
    <x:row r="9" ht="26" customHeight="1">
      <x:c r="A9" s="1"/>
      <x:c r="B9" s="1"/>
      <x:c r="C9" s="1"/>
      <x:c r="D9" s="1"/>
    </x:row>
    <x:row r="10" ht="26" customHeight="1">
      <x:c r="A10" s="1"/>
      <x:c r="B10" s="1"/>
      <x:c r="C10" s="1"/>
      <x:c r="D10" s="1"/>
    </x:row>
    <x:row r="11" ht="26" customHeight="1">
      <x:c r="A11" s="1"/>
      <x:c r="B11" s="1"/>
      <x:c r="C11" s="1"/>
      <x:c r="D11" s="1" t="str">
        <x:v>주문 기여금은 수수료와 배송·포장비를</x:v>
      </x:c>
    </x:row>
    <x:row r="12" ht="26" customHeight="1">
      <x:c r="A12" s="1"/>
      <x:c r="B12" s="1"/>
      <x:c r="C12" s="1"/>
      <x:c r="D12" s="1" t="str">
        <x:v>차감한 값입니다. 광고비·고정비·세금</x:v>
      </x:c>
    </x:row>
    <x:row r="13" ht="26" customHeight="1">
      <x:c r="A13" s="4" t="str">
        <x:v>입력 항목</x:v>
      </x:c>
      <x:c r="B13" s="4" t="str">
        <x:v>노란 칸을 수정하세요</x:v>
      </x:c>
      <x:c r="C13" s="1"/>
      <x:c r="D13" s="1" t="str">
        <x:v>효과는 제외합니다.</x:v>
      </x:c>
    </x:row>
    <x:row r="14" ht="26" customHeight="1">
      <x:c r="A14" s="1" t="str">
        <x:v>판매가 (원)</x:v>
      </x:c>
      <x:c r="B14" s="6" t="n">
        <x:v>30000</x:v>
      </x:c>
      <x:c r="C14" s="1"/>
      <x:c r="D14" s="1"/>
    </x:row>
    <x:row r="15" ht="26" customHeight="1">
      <x:c r="A15" s="1" t="str">
        <x:v>상품원가 (원)</x:v>
      </x:c>
      <x:c r="B15" s="6" t="n">
        <x:v>15000</x:v>
      </x:c>
      <x:c r="C15" s="1"/>
      <x:c r="D15" s="1"/>
    </x:row>
    <x:row r="16" ht="26" customHeight="1">
      <x:c r="A16" s="1" t="str">
        <x:v>수수료율 (%)</x:v>
      </x:c>
      <x:c r="B16" s="6" t="n">
        <x:v>6</x:v>
      </x:c>
      <x:c r="C16" s="1"/>
      <x:c r="D16" s="1"/>
    </x:row>
    <x:row r="17" ht="26" customHeight="1">
      <x:c r="A17" s="1" t="str">
        <x:v>배송·포장비 (원)</x:v>
      </x:c>
      <x:c r="B17" s="6" t="n">
        <x:v>3500</x:v>
      </x:c>
      <x:c r="C17" s="1"/>
      <x:c r="D17" s="1"/>
    </x:row>
    <x:row r="18" ht="26" customHeight="1">
      <x:c r="A18" s="1"/>
      <x:c r="B18" s="1"/>
      <x:c r="C18" s="1"/>
      <x:c r="D18" s="1"/>
    </x:row>
    <x:row r="19" ht="26" customHeight="1">
      <x:c r="A19" s="1"/>
      <x:c r="B19" s="1"/>
      <x:c r="C19" s="1"/>
      <x:c r="D19" s="1"/>
    </x:row>
    <x:row r="20" ht="26" customHeight="1">
      <x:c r="A20" s="1"/>
      <x:c r="B20" s="1"/>
      <x:c r="C20" s="1"/>
      <x:c r="D20" s="1" t="str">
        <x:v>입력 확인: 빈칸·범위·양수 조건을 확인하세요.</x:v>
      </x:c>
    </x:row>
    <x:row r="21" ht="26" customHeight="1">
      <x:c r="A21" s="1"/>
      <x:c r="B21" s="1"/>
      <x:c r="C21" s="1"/>
      <x:c r="D21" s="1"/>
    </x:row>
    <x:row r="22" ht="26" customHeight="1">
      <x:c r="A22" s="1"/>
      <x:c r="B22" s="1"/>
      <x:c r="C22" s="1"/>
      <x:c r="D22" s="1"/>
    </x:row>
    <x:row r="23" ht="26" customHeight="1">
      <x:c r="A23" s="1"/>
      <x:c r="B23" s="1"/>
      <x:c r="C23" s="1"/>
      <x:c r="D23" s="1"/>
    </x:row>
    <x:row r="24" ht="26" customHeight="1">
      <x:c r="A24" s="1"/>
      <x:c r="B24" s="1"/>
      <x:c r="C24" s="1"/>
      <x:c r="D24" s="1"/>
    </x:row>
    <x:row r="25" ht="26" customHeight="1">
      <x:c r="A25" s="1"/>
      <x:c r="B25" s="1"/>
      <x:c r="C25" s="1"/>
      <x:c r="D25" s="1"/>
    </x:row>
    <x:row r="26" ht="26" customHeight="1">
      <x:c r="A26" s="1"/>
      <x:c r="B26" s="1"/>
      <x:c r="C26" s="1"/>
      <x:c r="D26" s="1"/>
    </x:row>
    <x:row r="27" ht="26" customHeight="1">
      <x:c r="A27" s="1"/>
      <x:c r="B27" s="1"/>
      <x:c r="C27" s="1"/>
      <x:c r="D27" s="1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  <x:col min="3" max="3" width="4" hidden="0" customWidth="1"/>
    <x:col min="4" max="4" width="50" hidden="0" customWidth="1"/>
  </x:cols>
  <x:sheetData>
    <x:row r="1" ht="26" customHeight="1">
      <x:c r="A1" s="1"/>
      <x:c r="B1" s="1"/>
      <x:c r="C1" s="1"/>
      <x:c r="D1" s="1"/>
    </x:row>
    <x:row r="2" ht="26" customHeight="1">
      <x:c r="A2" s="2" t="str">
        <x:v>002 실무 계산표</x:v>
      </x:c>
      <x:c r="B2" s="1"/>
      <x:c r="C2" s="1"/>
      <x:c r="D2" s="1" t="str">
        <x:v>팔아본 팀장의 실무노트</x:v>
      </x:c>
    </x:row>
    <x:row r="3" ht="26" customHeight="1">
      <x:c r="A3" s="1"/>
      <x:c r="B3" s="1"/>
      <x:c r="C3" s="1"/>
      <x:c r="D3" s="1"/>
    </x:row>
    <x:row r="4" ht="26" customHeight="1">
      <x:c r="A4" s="4" t="str">
        <x:v>계산 결과</x:v>
      </x:c>
      <x:c r="B4" s="4" t="str">
        <x:v>값</x:v>
      </x:c>
      <x:c r="C4" s="1"/>
      <x:c r="D4" s="1" t="str">
        <x:v>사용 방법</x:v>
      </x:c>
    </x:row>
    <x:row r="5" ht="26" customHeight="1">
      <x:c r="A5" s="1" t="str">
        <x:v>기존 주문 기여금 (원)</x:v>
      </x:c>
      <x:c r="B5" s="8" t="n">
        <x:f>IFERROR(IF(AND(COUNT(B14:B19)=6,MIN(B14:B19)&gt;=0,B16&lt;=100,B18&lt;=100,MOD(B19,1)=0,B14&gt;0,B18&lt;100,B14-B15-B14*B16/100-B17&gt;0,B14*(1-B18/100)*(1-B16/100)-B15-B17&gt;0),B14-B15-B14*B16/100-B17,"입력 확인"),"입력 확인")</x:f>
        <x:v>9700</x:v>
      </x:c>
      <x:c r="C5" s="1"/>
      <x:c r="D5" s="1" t="str">
        <x:v>시트 번호는 글 번호와 같습니다.</x:v>
      </x:c>
    </x:row>
    <x:row r="6" ht="26" customHeight="1">
      <x:c r="A6" s="1" t="str">
        <x:v>할인 후 주문 기여금 (원)</x:v>
      </x:c>
      <x:c r="B6" s="8" t="n">
        <x:f>IFERROR(IF(AND(COUNT(B14:B19)=6,MIN(B14:B19)&gt;=0,B16&lt;=100,B18&lt;=100,MOD(B19,1)=0,B14&gt;0,B18&lt;100,B14-B15-B14*B16/100-B17&gt;0,B14*(1-B18/100)*(1-B16/100)-B15-B17&gt;0),B14*(1-B18/100)*(1-B16/100)-B15-B17,"입력 확인"),"입력 확인")</x:f>
        <x:v>6880</x:v>
      </x:c>
      <x:c r="C6" s="1"/>
      <x:c r="D6" s="1" t="str">
        <x:v>입력은 예시값입니다. 내 숫자로 바꾸세요.</x:v>
      </x:c>
    </x:row>
    <x:row r="7" ht="26" customHeight="1">
      <x:c r="A7" s="1" t="str">
        <x:v>기존 합계 유지 주문 (건)</x:v>
      </x:c>
      <x:c r="B7" s="7" t="n">
        <x:f>IFERROR(IF(AND(COUNT(B14:B19)=6,MIN(B14:B19)&gt;=0,B16&lt;=100,B18&lt;=100,MOD(B19,1)=0,B14&gt;0,B18&lt;100,B14-B15-B14*B16/100-B17&gt;0,B14*(1-B18/100)*(1-B16/100)-B15-B17&gt;0),ROUNDUP(ROUND(B5*B19/B6,8),0),"입력 확인"),"입력 확인")</x:f>
        <x:v>141</x:v>
      </x:c>
      <x:c r="C7" s="1"/>
      <x:c r="D7" s="1" t="str">
        <x:v>비율은 6%라면 6을 입력합니다.</x:v>
      </x:c>
    </x:row>
    <x:row r="8" ht="26" customHeight="1">
      <x:c r="A8" s="1"/>
      <x:c r="B8" s="1"/>
      <x:c r="C8" s="1"/>
      <x:c r="D8" s="1" t="str">
        <x:v>현재 웹 입력값이 아닌 독립 엑셀 양식입니다.</x:v>
      </x:c>
    </x:row>
    <x:row r="9" ht="26" customHeight="1">
      <x:c r="A9" s="1"/>
      <x:c r="B9" s="1"/>
      <x:c r="C9" s="1"/>
      <x:c r="D9" s="1"/>
    </x:row>
    <x:row r="10" ht="26" customHeight="1">
      <x:c r="A10" s="1"/>
      <x:c r="B10" s="1"/>
      <x:c r="C10" s="1"/>
      <x:c r="D10" s="1"/>
    </x:row>
    <x:row r="11" ht="26" customHeight="1">
      <x:c r="A11" s="1"/>
      <x:c r="B11" s="1"/>
      <x:c r="C11" s="1"/>
      <x:c r="D11" s="1" t="str">
        <x:v>인상·할인 전후 원가와 배송비가 같은</x:v>
      </x:c>
    </x:row>
    <x:row r="12" ht="26" customHeight="1">
      <x:c r="A12" s="1"/>
      <x:c r="B12" s="1"/>
      <x:c r="C12" s="1"/>
      <x:c r="D12" s="1" t="str">
        <x:v>가정입니다. 기여금이 양수인 경우에 필요한</x:v>
      </x:c>
    </x:row>
    <x:row r="13" ht="26" customHeight="1">
      <x:c r="A13" s="4" t="str">
        <x:v>입력 항목</x:v>
      </x:c>
      <x:c r="B13" s="4" t="str">
        <x:v>노란 칸을 수정하세요</x:v>
      </x:c>
      <x:c r="C13" s="1"/>
      <x:c r="D13" s="1" t="str">
        <x:v>주문 수를 비교합니다. 추가 행사비는</x:v>
      </x:c>
    </x:row>
    <x:row r="14" ht="26" customHeight="1">
      <x:c r="A14" s="1" t="str">
        <x:v>판매가 (원)</x:v>
      </x:c>
      <x:c r="B14" s="6" t="n">
        <x:v>30000</x:v>
      </x:c>
      <x:c r="C14" s="1"/>
      <x:c r="D14" s="1" t="str">
        <x:v>제외합니다.</x:v>
      </x:c>
    </x:row>
    <x:row r="15" ht="26" customHeight="1">
      <x:c r="A15" s="1" t="str">
        <x:v>상품원가 (원)</x:v>
      </x:c>
      <x:c r="B15" s="6" t="n">
        <x:v>15000</x:v>
      </x:c>
      <x:c r="C15" s="1"/>
      <x:c r="D15" s="1"/>
    </x:row>
    <x:row r="16" ht="26" customHeight="1">
      <x:c r="A16" s="1" t="str">
        <x:v>수수료율 (%)</x:v>
      </x:c>
      <x:c r="B16" s="6" t="n">
        <x:v>6</x:v>
      </x:c>
      <x:c r="C16" s="1"/>
      <x:c r="D16" s="1"/>
    </x:row>
    <x:row r="17" ht="26" customHeight="1">
      <x:c r="A17" s="1" t="str">
        <x:v>배송·포장비 (원)</x:v>
      </x:c>
      <x:c r="B17" s="6" t="n">
        <x:v>3500</x:v>
      </x:c>
      <x:c r="C17" s="1"/>
      <x:c r="D17" s="1"/>
    </x:row>
    <x:row r="18" ht="26" customHeight="1">
      <x:c r="A18" s="1" t="str">
        <x:v>할인율 (%)</x:v>
      </x:c>
      <x:c r="B18" s="6" t="n">
        <x:v>10</x:v>
      </x:c>
      <x:c r="C18" s="1"/>
      <x:c r="D18" s="1"/>
    </x:row>
    <x:row r="19" ht="26" customHeight="1">
      <x:c r="A19" s="1" t="str">
        <x:v>기존 주문 (건)</x:v>
      </x:c>
      <x:c r="B19" s="6" t="n">
        <x:v>100</x:v>
      </x:c>
      <x:c r="C19" s="1"/>
      <x:c r="D19" s="1"/>
    </x:row>
    <x:row r="20" ht="26" customHeight="1">
      <x:c r="A20" s="1"/>
      <x:c r="B20" s="1"/>
      <x:c r="C20" s="1"/>
      <x:c r="D20" s="1" t="str">
        <x:v>입력 확인: 빈칸·범위·양수 조건을 확인하세요.</x:v>
      </x:c>
    </x:row>
    <x:row r="21" ht="26" customHeight="1">
      <x:c r="A21" s="1"/>
      <x:c r="B21" s="1"/>
      <x:c r="C21" s="1"/>
      <x:c r="D21" s="1"/>
    </x:row>
    <x:row r="22" ht="26" customHeight="1">
      <x:c r="A22" s="1"/>
      <x:c r="B22" s="1"/>
      <x:c r="C22" s="1"/>
      <x:c r="D22" s="1"/>
    </x:row>
    <x:row r="23" ht="26" customHeight="1">
      <x:c r="A23" s="1"/>
      <x:c r="B23" s="1"/>
      <x:c r="C23" s="1"/>
      <x:c r="D23" s="1"/>
    </x:row>
    <x:row r="24" ht="26" customHeight="1">
      <x:c r="A24" s="1"/>
      <x:c r="B24" s="1"/>
      <x:c r="C24" s="1"/>
      <x:c r="D24" s="1"/>
    </x:row>
    <x:row r="25" ht="26" customHeight="1">
      <x:c r="A25" s="1"/>
      <x:c r="B25" s="1"/>
      <x:c r="C25" s="1"/>
      <x:c r="D25" s="1"/>
    </x:row>
    <x:row r="26" ht="26" customHeight="1">
      <x:c r="A26" s="1"/>
      <x:c r="B26" s="1"/>
      <x:c r="C26" s="1"/>
      <x:c r="D26" s="1"/>
    </x:row>
    <x:row r="27" ht="26" customHeight="1">
      <x:c r="A27" s="1"/>
      <x:c r="B27" s="1"/>
      <x:c r="C27" s="1"/>
      <x:c r="D27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  <x:col min="3" max="3" width="4" hidden="0" customWidth="1"/>
    <x:col min="4" max="4" width="50" hidden="0" customWidth="1"/>
  </x:cols>
  <x:sheetData>
    <x:row r="1" ht="26" customHeight="1">
      <x:c r="A1" s="1"/>
      <x:c r="B1" s="1"/>
      <x:c r="C1" s="1"/>
      <x:c r="D1" s="1"/>
    </x:row>
    <x:row r="2" ht="26" customHeight="1">
      <x:c r="A2" s="2" t="str">
        <x:v>003 실무 계산표</x:v>
      </x:c>
      <x:c r="B2" s="1"/>
      <x:c r="C2" s="1"/>
      <x:c r="D2" s="1" t="str">
        <x:v>팔아본 팀장의 실무노트</x:v>
      </x:c>
    </x:row>
    <x:row r="3" ht="26" customHeight="1">
      <x:c r="A3" s="1"/>
      <x:c r="B3" s="1"/>
      <x:c r="C3" s="1"/>
      <x:c r="D3" s="1"/>
    </x:row>
    <x:row r="4" ht="26" customHeight="1">
      <x:c r="A4" s="4" t="str">
        <x:v>계산 결과</x:v>
      </x:c>
      <x:c r="B4" s="4" t="str">
        <x:v>값</x:v>
      </x:c>
      <x:c r="C4" s="1"/>
      <x:c r="D4" s="1" t="str">
        <x:v>사용 방법</x:v>
      </x:c>
    </x:row>
    <x:row r="5" ht="26" customHeight="1">
      <x:c r="A5" s="1" t="str">
        <x:v>광고 전 기여금 (원)</x:v>
      </x:c>
      <x:c r="B5" s="8" t="n">
        <x:f>IFERROR(IF(AND(COUNT(B14:B16)=3,MIN(B14:B16)&gt;=0,B14&lt;=100,B14&gt;0,B16&gt;0),B15*B14/100,"입력 확인"),"입력 확인")</x:f>
        <x:v>9699</x:v>
      </x:c>
      <x:c r="C5" s="1"/>
      <x:c r="D5" s="1" t="str">
        <x:v>시트 번호는 글 번호와 같습니다.</x:v>
      </x:c>
    </x:row>
    <x:row r="6" ht="26" customHeight="1">
      <x:c r="A6" s="1" t="str">
        <x:v>광고 후 기여금 (원)</x:v>
      </x:c>
      <x:c r="B6" s="8" t="n">
        <x:f>IFERROR(IF(AND(COUNT(B14:B16)=3,MIN(B14:B16)&gt;=0,B14&lt;=100,B14&gt;0,B16&gt;0),B5-B16,"입력 확인"),"입력 확인")</x:f>
        <x:v>2199</x:v>
      </x:c>
      <x:c r="C6" s="1"/>
      <x:c r="D6" s="1" t="str">
        <x:v>입력은 예시값입니다. 내 숫자로 바꾸세요.</x:v>
      </x:c>
    </x:row>
    <x:row r="7" ht="26" customHeight="1">
      <x:c r="A7" s="1" t="str">
        <x:v>광고비 회수 ROAS (%)</x:v>
      </x:c>
      <x:c r="B7" s="7" t="n">
        <x:f>IFERROR(IF(AND(COUNT(B14:B16)=3,MIN(B14:B16)&gt;=0,B14&lt;=100,B14&gt;0,B16&gt;0),10000/B14,"입력 확인"),"입력 확인")</x:f>
        <x:v>309.3102381688834</x:v>
      </x:c>
      <x:c r="C7" s="1"/>
      <x:c r="D7" s="1" t="str">
        <x:v>비율은 6%라면 6을 입력합니다.</x:v>
      </x:c>
    </x:row>
    <x:row r="8" ht="26" customHeight="1">
      <x:c r="A8" s="1" t="str">
        <x:v>현재 ROAS (%)</x:v>
      </x:c>
      <x:c r="B8" s="7" t="n">
        <x:f>IFERROR(IF(AND(COUNT(B14:B16)=3,MIN(B14:B16)&gt;=0,B14&lt;=100,B14&gt;0,B16&gt;0),B15/B16*100,"입력 확인"),"입력 확인")</x:f>
        <x:v>400</x:v>
      </x:c>
      <x:c r="C8" s="1"/>
      <x:c r="D8" s="1" t="str">
        <x:v>현재 웹 입력값이 아닌 독립 엑셀 양식입니다.</x:v>
      </x:c>
    </x:row>
    <x:row r="9" ht="26" customHeight="1">
      <x:c r="A9" s="1"/>
      <x:c r="B9" s="1"/>
      <x:c r="C9" s="1"/>
      <x:c r="D9" s="1"/>
    </x:row>
    <x:row r="10" ht="26" customHeight="1">
      <x:c r="A10" s="1"/>
      <x:c r="B10" s="1"/>
      <x:c r="C10" s="1"/>
      <x:c r="D10" s="1"/>
    </x:row>
    <x:row r="11" ht="26" customHeight="1">
      <x:c r="A11" s="1"/>
      <x:c r="B11" s="1"/>
      <x:c r="C11" s="1"/>
      <x:c r="D11" s="1" t="str">
        <x:v>전환 가치가 매출인 경우에 사용합니다.</x:v>
      </x:c>
    </x:row>
    <x:row r="12" ht="26" customHeight="1">
      <x:c r="A12" s="1"/>
      <x:c r="B12" s="1"/>
      <x:c r="C12" s="1"/>
      <x:c r="D12" s="1" t="str">
        <x:v>기여율은 광고 전 기준입니다. 고정비·세금</x:v>
      </x:c>
    </x:row>
    <x:row r="13" ht="26" customHeight="1">
      <x:c r="A13" s="4" t="str">
        <x:v>입력 항목</x:v>
      </x:c>
      <x:c r="B13" s="4" t="str">
        <x:v>노란 칸을 수정하세요</x:v>
      </x:c>
      <x:c r="C13" s="1"/>
      <x:c r="D13" s="1" t="str">
        <x:v>효과는 제외합니다.</x:v>
      </x:c>
    </x:row>
    <x:row r="14" ht="26" customHeight="1">
      <x:c r="A14" s="1" t="str">
        <x:v>광고 전 기여율 (%)</x:v>
      </x:c>
      <x:c r="B14" s="6" t="n">
        <x:v>32.33</x:v>
      </x:c>
      <x:c r="C14" s="1"/>
      <x:c r="D14" s="1"/>
    </x:row>
    <x:row r="15" ht="26" customHeight="1">
      <x:c r="A15" s="1" t="str">
        <x:v>광고 매출 (원)</x:v>
      </x:c>
      <x:c r="B15" s="6" t="n">
        <x:v>30000</x:v>
      </x:c>
      <x:c r="C15" s="1"/>
      <x:c r="D15" s="1"/>
    </x:row>
    <x:row r="16" ht="26" customHeight="1">
      <x:c r="A16" s="1" t="str">
        <x:v>광고비 (원)</x:v>
      </x:c>
      <x:c r="B16" s="6" t="n">
        <x:v>7500</x:v>
      </x:c>
      <x:c r="C16" s="1"/>
      <x:c r="D16" s="1"/>
    </x:row>
    <x:row r="17" ht="26" customHeight="1">
      <x:c r="A17" s="1"/>
      <x:c r="B17" s="1"/>
      <x:c r="C17" s="1"/>
      <x:c r="D17" s="1"/>
    </x:row>
    <x:row r="18" ht="26" customHeight="1">
      <x:c r="A18" s="1"/>
      <x:c r="B18" s="1"/>
      <x:c r="C18" s="1"/>
      <x:c r="D18" s="1"/>
    </x:row>
    <x:row r="19" ht="26" customHeight="1">
      <x:c r="A19" s="1"/>
      <x:c r="B19" s="1"/>
      <x:c r="C19" s="1"/>
      <x:c r="D19" s="1"/>
    </x:row>
    <x:row r="20" ht="26" customHeight="1">
      <x:c r="A20" s="1"/>
      <x:c r="B20" s="1"/>
      <x:c r="C20" s="1"/>
      <x:c r="D20" s="1" t="str">
        <x:v>입력 확인: 빈칸·범위·양수 조건을 확인하세요.</x:v>
      </x:c>
    </x:row>
    <x:row r="21" ht="26" customHeight="1">
      <x:c r="A21" s="1"/>
      <x:c r="B21" s="1"/>
      <x:c r="C21" s="1"/>
      <x:c r="D21" s="1"/>
    </x:row>
    <x:row r="22" ht="26" customHeight="1">
      <x:c r="A22" s="1"/>
      <x:c r="B22" s="1"/>
      <x:c r="C22" s="1"/>
      <x:c r="D22" s="1"/>
    </x:row>
    <x:row r="23" ht="26" customHeight="1">
      <x:c r="A23" s="1"/>
      <x:c r="B23" s="1"/>
      <x:c r="C23" s="1"/>
      <x:c r="D23" s="1"/>
    </x:row>
    <x:row r="24" ht="26" customHeight="1">
      <x:c r="A24" s="1"/>
      <x:c r="B24" s="1"/>
      <x:c r="C24" s="1"/>
      <x:c r="D24" s="1"/>
    </x:row>
    <x:row r="25" ht="26" customHeight="1">
      <x:c r="A25" s="1"/>
      <x:c r="B25" s="1"/>
      <x:c r="C25" s="1"/>
      <x:c r="D25" s="1"/>
    </x:row>
    <x:row r="26" ht="26" customHeight="1">
      <x:c r="A26" s="1"/>
      <x:c r="B26" s="1"/>
      <x:c r="C26" s="1"/>
      <x:c r="D26" s="1"/>
    </x:row>
    <x:row r="27" ht="26" customHeight="1">
      <x:c r="A27" s="1"/>
      <x:c r="B27" s="1"/>
      <x:c r="C27" s="1"/>
      <x:c r="D27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  <x:col min="3" max="3" width="4" hidden="0" customWidth="1"/>
    <x:col min="4" max="4" width="50" hidden="0" customWidth="1"/>
  </x:cols>
  <x:sheetData>
    <x:row r="1" ht="26" customHeight="1">
      <x:c r="A1" s="1"/>
      <x:c r="B1" s="1"/>
      <x:c r="C1" s="1"/>
      <x:c r="D1" s="1"/>
    </x:row>
    <x:row r="2" ht="26" customHeight="1">
      <x:c r="A2" s="2" t="str">
        <x:v>004 실무 계산표</x:v>
      </x:c>
      <x:c r="B2" s="1"/>
      <x:c r="C2" s="1"/>
      <x:c r="D2" s="1" t="str">
        <x:v>팔아본 팀장의 실무노트</x:v>
      </x:c>
    </x:row>
    <x:row r="3" ht="26" customHeight="1">
      <x:c r="A3" s="1"/>
      <x:c r="B3" s="1"/>
      <x:c r="C3" s="1"/>
      <x:c r="D3" s="1"/>
    </x:row>
    <x:row r="4" ht="26" customHeight="1">
      <x:c r="A4" s="4" t="str">
        <x:v>계산 결과</x:v>
      </x:c>
      <x:c r="B4" s="4" t="str">
        <x:v>값</x:v>
      </x:c>
      <x:c r="C4" s="1"/>
      <x:c r="D4" s="1" t="str">
        <x:v>사용 방법</x:v>
      </x:c>
    </x:row>
    <x:row r="5" ht="26" customHeight="1">
      <x:c r="A5" s="1" t="str">
        <x:v>목표 기여금 기준 (원)</x:v>
      </x:c>
      <x:c r="B5" s="8" t="n">
        <x:f>IFERROR(IF(AND(COUNT(B14:B19)=6,MIN(B14:B19)&gt;=0,B14&lt;=100,B14&gt;0),ROUNDUP(ROUND((B17+B15+B16)/(B14/100),8),0),"입력 확인"),"입력 확인")</x:f>
        <x:v>30000</x:v>
      </x:c>
      <x:c r="C5" s="1"/>
      <x:c r="D5" s="1" t="str">
        <x:v>시트 번호는 글 번호와 같습니다.</x:v>
      </x:c>
    </x:row>
    <x:row r="6" ht="26" customHeight="1">
      <x:c r="A6" s="1" t="str">
        <x:v>기존 수준 유지 기준 (원)</x:v>
      </x:c>
      <x:c r="B6" s="8" t="n">
        <x:f>IFERROR(IF(AND(COUNT(B14:B19)=6,MIN(B14:B19)&gt;=0,B14&lt;=100,B14&gt;0),ROUNDUP(ROUND(B18+B19/(B14/100),8),0),"입력 확인"),"입력 확인")</x:f>
        <x:v>28572</x:v>
      </x:c>
      <x:c r="C6" s="1"/>
      <x:c r="D6" s="1" t="str">
        <x:v>입력은 예시값입니다. 내 숫자로 바꾸세요.</x:v>
      </x:c>
    </x:row>
    <x:row r="7" ht="26" customHeight="1">
      <x:c r="A7" s="1" t="str">
        <x:v>추가 구매액 (원)</x:v>
      </x:c>
      <x:c r="B7" s="8" t="n">
        <x:f>IFERROR(IF(AND(COUNT(B14:B19)=6,MIN(B14:B19)&gt;=0,B14&lt;=100,B14&gt;0),ROUNDUP(ROUND(B19/(B14/100),8),0),"입력 확인"),"입력 확인")</x:f>
        <x:v>8572</x:v>
      </x:c>
      <x:c r="C7" s="1"/>
      <x:c r="D7" s="1" t="str">
        <x:v>비율은 6%라면 6을 입력합니다.</x:v>
      </x:c>
    </x:row>
    <x:row r="8" ht="26" customHeight="1">
      <x:c r="A8" s="1" t="str">
        <x:v>기존 주문 기여금 (원)</x:v>
      </x:c>
      <x:c r="B8" s="8" t="n">
        <x:f>IFERROR(IF(AND(COUNT(B14:B19)=6,MIN(B14:B19)&gt;=0,B14&lt;=100,B14&gt;0),B18*B14/100+B19-B15-B16,"입력 확인"),"입력 확인")</x:f>
        <x:v>6500</x:v>
      </x:c>
      <x:c r="C8" s="1"/>
      <x:c r="D8" s="1" t="str">
        <x:v>현재 웹 입력값이 아닌 독립 엑셀 양식입니다.</x:v>
      </x:c>
    </x:row>
    <x:row r="9" ht="26" customHeight="1">
      <x:c r="A9" s="1"/>
      <x:c r="B9" s="1"/>
      <x:c r="C9" s="1"/>
      <x:c r="D9" s="1"/>
    </x:row>
    <x:row r="10" ht="26" customHeight="1">
      <x:c r="A10" s="1"/>
      <x:c r="B10" s="1"/>
      <x:c r="C10" s="1"/>
      <x:c r="D10" s="1"/>
    </x:row>
    <x:row r="11" ht="26" customHeight="1">
      <x:c r="A11" s="1"/>
      <x:c r="B11" s="1"/>
      <x:c r="C11" s="1"/>
      <x:c r="D11" s="1" t="str">
        <x:v>배송 전 기여율에는 상품원가와 매출 비례</x:v>
      </x:c>
    </x:row>
    <x:row r="12" ht="26" customHeight="1">
      <x:c r="A12" s="1"/>
      <x:c r="B12" s="1"/>
      <x:c r="C12" s="1"/>
      <x:c r="D12" s="1" t="str">
        <x:v>비용을 반영합니다. 배송·포장비는 별도</x:v>
      </x:c>
    </x:row>
    <x:row r="13" ht="26" customHeight="1">
      <x:c r="A13" s="4" t="str">
        <x:v>입력 항목</x:v>
      </x:c>
      <x:c r="B13" s="4" t="str">
        <x:v>노란 칸을 수정하세요</x:v>
      </x:c>
      <x:c r="C13" s="1"/>
      <x:c r="D13" s="1" t="str">
        <x:v>차감합니다.</x:v>
      </x:c>
    </x:row>
    <x:row r="14" ht="26" customHeight="1">
      <x:c r="A14" s="1" t="str">
        <x:v>배송 전 기여율 (%)</x:v>
      </x:c>
      <x:c r="B14" s="6" t="n">
        <x:v>35</x:v>
      </x:c>
      <x:c r="C14" s="1"/>
      <x:c r="D14" s="1"/>
    </x:row>
    <x:row r="15" ht="26" customHeight="1">
      <x:c r="A15" s="1" t="str">
        <x:v>택배비 (원)</x:v>
      </x:c>
      <x:c r="B15" s="6" t="n">
        <x:v>3000</x:v>
      </x:c>
      <x:c r="C15" s="1"/>
      <x:c r="D15" s="1"/>
    </x:row>
    <x:row r="16" ht="26" customHeight="1">
      <x:c r="A16" s="1" t="str">
        <x:v>포장비 (원)</x:v>
      </x:c>
      <x:c r="B16" s="6" t="n">
        <x:v>500</x:v>
      </x:c>
      <x:c r="C16" s="1"/>
      <x:c r="D16" s="1"/>
    </x:row>
    <x:row r="17" ht="26" customHeight="1">
      <x:c r="A17" s="1" t="str">
        <x:v>목표 기여금 (원)</x:v>
      </x:c>
      <x:c r="B17" s="6" t="n">
        <x:v>7000</x:v>
      </x:c>
      <x:c r="C17" s="1"/>
      <x:c r="D17" s="1"/>
    </x:row>
    <x:row r="18" ht="26" customHeight="1">
      <x:c r="A18" s="1" t="str">
        <x:v>기존 주문액 (원)</x:v>
      </x:c>
      <x:c r="B18" s="6" t="n">
        <x:v>20000</x:v>
      </x:c>
      <x:c r="C18" s="1"/>
      <x:c r="D18" s="1"/>
    </x:row>
    <x:row r="19" ht="26" customHeight="1">
      <x:c r="A19" s="1" t="str">
        <x:v>고객 배송비 (원)</x:v>
      </x:c>
      <x:c r="B19" s="6" t="n">
        <x:v>3000</x:v>
      </x:c>
      <x:c r="C19" s="1"/>
      <x:c r="D19" s="1"/>
    </x:row>
    <x:row r="20" ht="26" customHeight="1">
      <x:c r="A20" s="1"/>
      <x:c r="B20" s="1"/>
      <x:c r="C20" s="1"/>
      <x:c r="D20" s="1" t="str">
        <x:v>입력 확인: 빈칸·범위·양수 조건을 확인하세요.</x:v>
      </x:c>
    </x:row>
    <x:row r="21" ht="26" customHeight="1">
      <x:c r="A21" s="1"/>
      <x:c r="B21" s="1"/>
      <x:c r="C21" s="1"/>
      <x:c r="D21" s="1"/>
    </x:row>
    <x:row r="22" ht="26" customHeight="1">
      <x:c r="A22" s="1"/>
      <x:c r="B22" s="1"/>
      <x:c r="C22" s="1"/>
      <x:c r="D22" s="1"/>
    </x:row>
    <x:row r="23" ht="26" customHeight="1">
      <x:c r="A23" s="1"/>
      <x:c r="B23" s="1"/>
      <x:c r="C23" s="1"/>
      <x:c r="D23" s="1"/>
    </x:row>
    <x:row r="24" ht="26" customHeight="1">
      <x:c r="A24" s="1"/>
      <x:c r="B24" s="1"/>
      <x:c r="C24" s="1"/>
      <x:c r="D24" s="1"/>
    </x:row>
    <x:row r="25" ht="26" customHeight="1">
      <x:c r="A25" s="1"/>
      <x:c r="B25" s="1"/>
      <x:c r="C25" s="1"/>
      <x:c r="D25" s="1"/>
    </x:row>
    <x:row r="26" ht="26" customHeight="1">
      <x:c r="A26" s="1"/>
      <x:c r="B26" s="1"/>
      <x:c r="C26" s="1"/>
      <x:c r="D26" s="1"/>
    </x:row>
    <x:row r="27" ht="26" customHeight="1">
      <x:c r="A27" s="1"/>
      <x:c r="B27" s="1"/>
      <x:c r="C27" s="1"/>
      <x:c r="D27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  <x:col min="3" max="3" width="4" hidden="0" customWidth="1"/>
    <x:col min="4" max="4" width="50" hidden="0" customWidth="1"/>
  </x:cols>
  <x:sheetData>
    <x:row r="1" ht="26" customHeight="1">
      <x:c r="A1" s="1"/>
      <x:c r="B1" s="1"/>
      <x:c r="C1" s="1"/>
      <x:c r="D1" s="1"/>
    </x:row>
    <x:row r="2" ht="26" customHeight="1">
      <x:c r="A2" s="2" t="str">
        <x:v>005 실무 계산표</x:v>
      </x:c>
      <x:c r="B2" s="1"/>
      <x:c r="C2" s="1"/>
      <x:c r="D2" s="1" t="str">
        <x:v>팔아본 팀장의 실무노트</x:v>
      </x:c>
    </x:row>
    <x:row r="3" ht="26" customHeight="1">
      <x:c r="A3" s="1"/>
      <x:c r="B3" s="1"/>
      <x:c r="C3" s="1"/>
      <x:c r="D3" s="1"/>
    </x:row>
    <x:row r="4" ht="26" customHeight="1">
      <x:c r="A4" s="4" t="str">
        <x:v>계산 결과</x:v>
      </x:c>
      <x:c r="B4" s="4" t="str">
        <x:v>값</x:v>
      </x:c>
      <x:c r="C4" s="1"/>
      <x:c r="D4" s="1" t="str">
        <x:v>사용 방법</x:v>
      </x:c>
    </x:row>
    <x:row r="5" ht="26" customHeight="1">
      <x:c r="A5" s="1" t="str">
        <x:v>판매가 기준 기여금 (원)</x:v>
      </x:c>
      <x:c r="B5" s="8" t="n">
        <x:f>IFERROR(IF(AND(COUNT(B14:B19)=6,MIN(B14:B19)&gt;=0,B16&lt;=100),B14-B15-B14*B16/100-B17-B18,"입력 확인"),"입력 확인")</x:f>
        <x:v>9700</x:v>
      </x:c>
      <x:c r="C5" s="1"/>
      <x:c r="D5" s="1" t="str">
        <x:v>시트 번호는 글 번호와 같습니다.</x:v>
      </x:c>
    </x:row>
    <x:row r="6" ht="26" customHeight="1">
      <x:c r="A6" s="1" t="str">
        <x:v>정산금 기준 기여금 (원)</x:v>
      </x:c>
      <x:c r="B6" s="8" t="n">
        <x:f>IFERROR(IF(AND(COUNT(B14:B19)=6,MIN(B14:B19)&gt;=0,B16&lt;=100),B19-B15-B17-B18,"입력 확인"),"입력 확인")</x:f>
        <x:v>9700</x:v>
      </x:c>
      <x:c r="C6" s="1"/>
      <x:c r="D6" s="1" t="str">
        <x:v>입력은 예시값입니다. 내 숫자로 바꾸세요.</x:v>
      </x:c>
    </x:row>
    <x:row r="7" ht="26" customHeight="1">
      <x:c r="A7" s="1" t="str">
        <x:v>두 경로의 차이 (원)</x:v>
      </x:c>
      <x:c r="B7" s="8" t="n">
        <x:f>IFERROR(IF(AND(COUNT(B14:B19)=6,MIN(B14:B19)&gt;=0,B16&lt;=100),B14-B14*B16/100-B19,"입력 확인"),"입력 확인")</x:f>
        <x:v>0</x:v>
      </x:c>
      <x:c r="C7" s="1"/>
      <x:c r="D7" s="1" t="str">
        <x:v>비율은 6%라면 6을 입력합니다.</x:v>
      </x:c>
    </x:row>
    <x:row r="8" ht="26" customHeight="1">
      <x:c r="A8" s="1"/>
      <x:c r="B8" s="1"/>
      <x:c r="C8" s="1"/>
      <x:c r="D8" s="1" t="str">
        <x:v>현재 웹 입력값이 아닌 독립 엑셀 양식입니다.</x:v>
      </x:c>
    </x:row>
    <x:row r="9" ht="26" customHeight="1">
      <x:c r="A9" s="1"/>
      <x:c r="B9" s="1"/>
      <x:c r="C9" s="1"/>
      <x:c r="D9" s="1"/>
    </x:row>
    <x:row r="10" ht="26" customHeight="1">
      <x:c r="A10" s="1"/>
      <x:c r="B10" s="1"/>
      <x:c r="C10" s="1"/>
      <x:c r="D10" s="1"/>
    </x:row>
    <x:row r="11" ht="26" customHeight="1">
      <x:c r="A11" s="1"/>
      <x:c r="B11" s="1"/>
      <x:c r="C11" s="1"/>
      <x:c r="D11" s="1" t="str">
        <x:v>판매가 경로 =</x:v>
      </x:c>
    </x:row>
    <x:row r="12" ht="26" customHeight="1">
      <x:c r="A12" s="1"/>
      <x:c r="B12" s="1"/>
      <x:c r="C12" s="1"/>
      <x:c r="D12" s="1" t="str">
        <x:v>판매가−원가−수수료−택배−포장. 정산금</x:v>
      </x:c>
    </x:row>
    <x:row r="13" ht="26" customHeight="1">
      <x:c r="A13" s="4" t="str">
        <x:v>입력 항목</x:v>
      </x:c>
      <x:c r="B13" s="4" t="str">
        <x:v>노란 칸을 수정하세요</x:v>
      </x:c>
      <x:c r="C13" s="1"/>
      <x:c r="D13" s="1" t="str">
        <x:v>경로 = 정산금−원가−택배−포장.</x:v>
      </x:c>
    </x:row>
    <x:row r="14" ht="26" customHeight="1">
      <x:c r="A14" s="1" t="str">
        <x:v>판매가 (원)</x:v>
      </x:c>
      <x:c r="B14" s="6" t="n">
        <x:v>30000</x:v>
      </x:c>
      <x:c r="C14" s="1"/>
      <x:c r="D14" s="1" t="str">
        <x:v>정산금에서는 수수료만 차감됐다고</x:v>
      </x:c>
    </x:row>
    <x:row r="15" ht="26" customHeight="1">
      <x:c r="A15" s="1" t="str">
        <x:v>상품원가 (원)</x:v>
      </x:c>
      <x:c r="B15" s="6" t="n">
        <x:v>15000</x:v>
      </x:c>
      <x:c r="C15" s="1"/>
      <x:c r="D15" s="1" t="str">
        <x:v>가정합니다.</x:v>
      </x:c>
    </x:row>
    <x:row r="16" ht="26" customHeight="1">
      <x:c r="A16" s="1" t="str">
        <x:v>수수료율 (%)</x:v>
      </x:c>
      <x:c r="B16" s="6" t="n">
        <x:v>6</x:v>
      </x:c>
      <x:c r="C16" s="1"/>
      <x:c r="D16" s="1"/>
    </x:row>
    <x:row r="17" ht="26" customHeight="1">
      <x:c r="A17" s="1" t="str">
        <x:v>택배비 (원)</x:v>
      </x:c>
      <x:c r="B17" s="6" t="n">
        <x:v>3000</x:v>
      </x:c>
      <x:c r="C17" s="1"/>
      <x:c r="D17" s="1"/>
    </x:row>
    <x:row r="18" ht="26" customHeight="1">
      <x:c r="A18" s="1" t="str">
        <x:v>포장비 (원)</x:v>
      </x:c>
      <x:c r="B18" s="6" t="n">
        <x:v>500</x:v>
      </x:c>
      <x:c r="C18" s="1"/>
      <x:c r="D18" s="1"/>
    </x:row>
    <x:row r="19" ht="26" customHeight="1">
      <x:c r="A19" s="1" t="str">
        <x:v>수수료만 차감한 정산금 (원)</x:v>
      </x:c>
      <x:c r="B19" s="6" t="n">
        <x:v>28200</x:v>
      </x:c>
      <x:c r="C19" s="1"/>
      <x:c r="D19" s="1"/>
    </x:row>
    <x:row r="20" ht="26" customHeight="1">
      <x:c r="A20" s="1"/>
      <x:c r="B20" s="1"/>
      <x:c r="C20" s="1"/>
      <x:c r="D20" s="1" t="str">
        <x:v>입력 확인: 빈칸·범위·양수 조건을 확인하세요.</x:v>
      </x:c>
    </x:row>
    <x:row r="21" ht="26" customHeight="1">
      <x:c r="A21" s="1"/>
      <x:c r="B21" s="1"/>
      <x:c r="C21" s="1"/>
      <x:c r="D21" s="1"/>
    </x:row>
    <x:row r="22" ht="26" customHeight="1">
      <x:c r="A22" s="1"/>
      <x:c r="B22" s="1"/>
      <x:c r="C22" s="1"/>
      <x:c r="D22" s="1"/>
    </x:row>
    <x:row r="23" ht="26" customHeight="1">
      <x:c r="A23" s="1"/>
      <x:c r="B23" s="1"/>
      <x:c r="C23" s="1"/>
      <x:c r="D23" s="1"/>
    </x:row>
    <x:row r="24" ht="26" customHeight="1">
      <x:c r="A24" s="1"/>
      <x:c r="B24" s="1"/>
      <x:c r="C24" s="1"/>
      <x:c r="D24" s="1"/>
    </x:row>
    <x:row r="25" ht="26" customHeight="1">
      <x:c r="A25" s="1"/>
      <x:c r="B25" s="1"/>
      <x:c r="C25" s="1"/>
      <x:c r="D25" s="1"/>
    </x:row>
    <x:row r="26" ht="26" customHeight="1">
      <x:c r="A26" s="1"/>
      <x:c r="B26" s="1"/>
      <x:c r="C26" s="1"/>
      <x:c r="D26" s="1"/>
    </x:row>
    <x:row r="27" ht="26" customHeight="1">
      <x:c r="A27" s="1"/>
      <x:c r="B27" s="1"/>
      <x:c r="C27" s="1"/>
      <x:c r="D27" s="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  <x:col min="3" max="3" width="4" hidden="0" customWidth="1"/>
    <x:col min="4" max="4" width="50" hidden="0" customWidth="1"/>
  </x:cols>
  <x:sheetData>
    <x:row r="1" ht="26" customHeight="1">
      <x:c r="A1" s="1"/>
      <x:c r="B1" s="1"/>
      <x:c r="C1" s="1"/>
      <x:c r="D1" s="1"/>
    </x:row>
    <x:row r="2" ht="26" customHeight="1">
      <x:c r="A2" s="2" t="str">
        <x:v>006 실무 계산표</x:v>
      </x:c>
      <x:c r="B2" s="1"/>
      <x:c r="C2" s="1"/>
      <x:c r="D2" s="1" t="str">
        <x:v>팔아본 팀장의 실무노트</x:v>
      </x:c>
    </x:row>
    <x:row r="3" ht="26" customHeight="1">
      <x:c r="A3" s="1"/>
      <x:c r="B3" s="1"/>
      <x:c r="C3" s="1"/>
      <x:c r="D3" s="1"/>
    </x:row>
    <x:row r="4" ht="26" customHeight="1">
      <x:c r="A4" s="4" t="str">
        <x:v>계산 결과</x:v>
      </x:c>
      <x:c r="B4" s="4" t="str">
        <x:v>값</x:v>
      </x:c>
      <x:c r="C4" s="1"/>
      <x:c r="D4" s="1" t="str">
        <x:v>사용 방법</x:v>
      </x:c>
    </x:row>
    <x:row r="5" ht="26" customHeight="1">
      <x:c r="A5" s="1" t="str">
        <x:v>낱개 여러 주문 기여금 (원)</x:v>
      </x:c>
      <x:c r="B5" s="8" t="n">
        <x:f>IFERROR(IF(AND(COUNT(B14:B19)=6,MIN(B14:B19)&gt;=0,B16&lt;=100,MOD(B18,1)=0,B16&lt;100,B18&gt;=2,MOD(B18,1)=0),B18*(B14*(1-B16/100)-B15-B17),"입력 확인"),"입력 확인")</x:f>
        <x:v>19400</x:v>
      </x:c>
      <x:c r="C5" s="1"/>
      <x:c r="D5" s="1" t="str">
        <x:v>시트 번호는 글 번호와 같습니다.</x:v>
      </x:c>
    </x:row>
    <x:row r="6" ht="26" customHeight="1">
      <x:c r="A6" s="1" t="str">
        <x:v>묶음 한 주문 기여금 (원)</x:v>
      </x:c>
      <x:c r="B6" s="8" t="n">
        <x:f>IFERROR(IF(AND(COUNT(B14:B19)=6,MIN(B14:B19)&gt;=0,B16&lt;=100,MOD(B18,1)=0,B16&lt;100,B18&gt;=2,MOD(B18,1)=0),B19*(1-B16/100)-B18*B15-B17,"입력 확인"),"입력 확인")</x:f>
        <x:v>20080</x:v>
      </x:c>
      <x:c r="C6" s="1"/>
      <x:c r="D6" s="1" t="str">
        <x:v>입력은 예시값입니다. 내 숫자로 바꾸세요.</x:v>
      </x:c>
    </x:row>
    <x:row r="7" ht="26" customHeight="1">
      <x:c r="A7" s="1" t="str">
        <x:v>묶음의 차이 (원)</x:v>
      </x:c>
      <x:c r="B7" s="8" t="n">
        <x:f>IFERROR(IF(AND(COUNT(B14:B19)=6,MIN(B14:B19)&gt;=0,B16&lt;=100,MOD(B18,1)=0,B16&lt;100,B18&gt;=2,MOD(B18,1)=0),B6-B5,"입력 확인"),"입력 확인")</x:f>
        <x:v>680</x:v>
      </x:c>
      <x:c r="C7" s="1"/>
      <x:c r="D7" s="1" t="str">
        <x:v>비율은 6%라면 6을 입력합니다.</x:v>
      </x:c>
    </x:row>
    <x:row r="8" ht="26" customHeight="1">
      <x:c r="A8" s="1" t="str">
        <x:v>같은 기여금의 최소 묶음가 (원)</x:v>
      </x:c>
      <x:c r="B8" s="8" t="n">
        <x:f>IFERROR(IF(AND(COUNT(B14:B19)=6,MIN(B14:B19)&gt;=0,B16&lt;=100,MOD(B18,1)=0,B16&lt;100,B18&gt;=2,MOD(B18,1)=0),ROUNDUP(ROUND((B5+B18*B15+B17)/(1-B16/100),8),0),"입력 확인"),"입력 확인")</x:f>
        <x:v>56277</x:v>
      </x:c>
      <x:c r="C8" s="1"/>
      <x:c r="D8" s="1" t="str">
        <x:v>현재 웹 입력값이 아닌 독립 엑셀 양식입니다.</x:v>
      </x:c>
    </x:row>
    <x:row r="9" ht="26" customHeight="1">
      <x:c r="A9" s="1"/>
      <x:c r="B9" s="1"/>
      <x:c r="C9" s="1"/>
      <x:c r="D9" s="1"/>
    </x:row>
    <x:row r="10" ht="26" customHeight="1">
      <x:c r="A10" s="1"/>
      <x:c r="B10" s="1"/>
      <x:c r="C10" s="1"/>
      <x:c r="D10" s="1"/>
    </x:row>
    <x:row r="11" ht="26" customHeight="1">
      <x:c r="A11" s="1"/>
      <x:c r="B11" s="1"/>
      <x:c r="C11" s="1"/>
      <x:c r="D11" s="1" t="str">
        <x:v>낱개 n건 =</x:v>
      </x:c>
    </x:row>
    <x:row r="12" ht="26" customHeight="1">
      <x:c r="A12" s="1"/>
      <x:c r="B12" s="1"/>
      <x:c r="C12" s="1"/>
      <x:c r="D12" s="1" t="str">
        <x:v>n×(낱개가×(1−수수료율)−원가−배송포장</x:v>
      </x:c>
    </x:row>
    <x:row r="13" ht="26" customHeight="1">
      <x:c r="A13" s="4" t="str">
        <x:v>입력 항목</x:v>
      </x:c>
      <x:c r="B13" s="4" t="str">
        <x:v>노란 칸을 수정하세요</x:v>
      </x:c>
      <x:c r="C13" s="1"/>
      <x:c r="D13" s="1" t="str">
        <x:v>). 묶음 =</x:v>
      </x:c>
    </x:row>
    <x:row r="14" ht="26" customHeight="1">
      <x:c r="A14" s="1" t="str">
        <x:v>낱개 판매가 (원)</x:v>
      </x:c>
      <x:c r="B14" s="6" t="n">
        <x:v>30000</x:v>
      </x:c>
      <x:c r="C14" s="1"/>
      <x:c r="D14" s="1" t="str">
        <x:v>묶음가×(1−수수료율)−n×원가−배송포장.</x:v>
      </x:c>
    </x:row>
    <x:row r="15" ht="26" customHeight="1">
      <x:c r="A15" s="1" t="str">
        <x:v>개당 원가 (원)</x:v>
      </x:c>
      <x:c r="B15" s="6" t="n">
        <x:v>15000</x:v>
      </x:c>
      <x:c r="C15" s="1"/>
      <x:c r="D15" s="1" t="str">
        <x:v>묶음도 같은 배송·포장 비용이라고</x:v>
      </x:c>
    </x:row>
    <x:row r="16" ht="26" customHeight="1">
      <x:c r="A16" s="1" t="str">
        <x:v>수수료율 (%)</x:v>
      </x:c>
      <x:c r="B16" s="6" t="n">
        <x:v>6</x:v>
      </x:c>
      <x:c r="C16" s="1"/>
      <x:c r="D16" s="1" t="str">
        <x:v>가정합니다.</x:v>
      </x:c>
    </x:row>
    <x:row r="17" ht="26" customHeight="1">
      <x:c r="A17" s="1" t="str">
        <x:v>주문당 배송·포장 (원)</x:v>
      </x:c>
      <x:c r="B17" s="6" t="n">
        <x:v>3500</x:v>
      </x:c>
      <x:c r="C17" s="1"/>
      <x:c r="D17" s="1"/>
    </x:row>
    <x:row r="18" ht="26" customHeight="1">
      <x:c r="A18" s="1" t="str">
        <x:v>묶음 수량 (개)</x:v>
      </x:c>
      <x:c r="B18" s="6" t="n">
        <x:v>2</x:v>
      </x:c>
      <x:c r="C18" s="1"/>
      <x:c r="D18" s="1"/>
    </x:row>
    <x:row r="19" ht="26" customHeight="1">
      <x:c r="A19" s="1" t="str">
        <x:v>묶음 판매가 (원)</x:v>
      </x:c>
      <x:c r="B19" s="6" t="n">
        <x:v>57000</x:v>
      </x:c>
      <x:c r="C19" s="1"/>
      <x:c r="D19" s="1"/>
    </x:row>
    <x:row r="20" ht="26" customHeight="1">
      <x:c r="A20" s="1"/>
      <x:c r="B20" s="1"/>
      <x:c r="C20" s="1"/>
      <x:c r="D20" s="1" t="str">
        <x:v>입력 확인: 빈칸·범위·양수 조건을 확인하세요.</x:v>
      </x:c>
    </x:row>
    <x:row r="21" ht="26" customHeight="1">
      <x:c r="A21" s="1"/>
      <x:c r="B21" s="1"/>
      <x:c r="C21" s="1"/>
      <x:c r="D21" s="1"/>
    </x:row>
    <x:row r="22" ht="26" customHeight="1">
      <x:c r="A22" s="1"/>
      <x:c r="B22" s="1"/>
      <x:c r="C22" s="1"/>
      <x:c r="D22" s="1"/>
    </x:row>
    <x:row r="23" ht="26" customHeight="1">
      <x:c r="A23" s="1"/>
      <x:c r="B23" s="1"/>
      <x:c r="C23" s="1"/>
      <x:c r="D23" s="1"/>
    </x:row>
    <x:row r="24" ht="26" customHeight="1">
      <x:c r="A24" s="1"/>
      <x:c r="B24" s="1"/>
      <x:c r="C24" s="1"/>
      <x:c r="D24" s="1"/>
    </x:row>
    <x:row r="25" ht="26" customHeight="1">
      <x:c r="A25" s="1"/>
      <x:c r="B25" s="1"/>
      <x:c r="C25" s="1"/>
      <x:c r="D25" s="1"/>
    </x:row>
    <x:row r="26" ht="26" customHeight="1">
      <x:c r="A26" s="1"/>
      <x:c r="B26" s="1"/>
      <x:c r="C26" s="1"/>
      <x:c r="D26" s="1"/>
    </x:row>
    <x:row r="27" ht="26" customHeight="1">
      <x:c r="A27" s="1"/>
      <x:c r="B27" s="1"/>
      <x:c r="C27" s="1"/>
      <x:c r="D27" s="1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  <x:col min="3" max="3" width="4" hidden="0" customWidth="1"/>
    <x:col min="4" max="4" width="50" hidden="0" customWidth="1"/>
  </x:cols>
  <x:sheetData>
    <x:row r="1" ht="26" customHeight="1">
      <x:c r="A1" s="1"/>
      <x:c r="B1" s="1"/>
      <x:c r="C1" s="1"/>
      <x:c r="D1" s="1"/>
    </x:row>
    <x:row r="2" ht="26" customHeight="1">
      <x:c r="A2" s="2" t="str">
        <x:v>007 실무 계산표</x:v>
      </x:c>
      <x:c r="B2" s="1"/>
      <x:c r="C2" s="1"/>
      <x:c r="D2" s="1" t="str">
        <x:v>팔아본 팀장의 실무노트</x:v>
      </x:c>
    </x:row>
    <x:row r="3" ht="26" customHeight="1">
      <x:c r="A3" s="1"/>
      <x:c r="B3" s="1"/>
      <x:c r="C3" s="1"/>
      <x:c r="D3" s="1"/>
    </x:row>
    <x:row r="4" ht="26" customHeight="1">
      <x:c r="A4" s="4" t="str">
        <x:v>계산 결과</x:v>
      </x:c>
      <x:c r="B4" s="4" t="str">
        <x:v>값</x:v>
      </x:c>
      <x:c r="C4" s="1"/>
      <x:c r="D4" s="1" t="str">
        <x:v>사용 방법</x:v>
      </x:c>
    </x:row>
    <x:row r="5" ht="26" customHeight="1">
      <x:c r="A5" s="1" t="str">
        <x:v>순차 적용 가격 (원)</x:v>
      </x:c>
      <x:c r="B5" s="8" t="n">
        <x:f>IFERROR(IF(AND(COUNT(B14:B16)=3,MIN(B14:B16)&gt;=0,B15&lt;=100,B16&lt;=100,B14&gt;0,B15+B16&lt;=100),B14*(1-B15/100)*(1-B16/100),"입력 확인"),"입력 확인")</x:f>
        <x:v>24300</x:v>
      </x:c>
      <x:c r="C5" s="1"/>
      <x:c r="D5" s="1" t="str">
        <x:v>시트 번호는 글 번호와 같습니다.</x:v>
      </x:c>
    </x:row>
    <x:row r="6" ht="26" customHeight="1">
      <x:c r="A6" s="1" t="str">
        <x:v>같은 원금 적용 가격 (원)</x:v>
      </x:c>
      <x:c r="B6" s="8" t="n">
        <x:f>IFERROR(IF(AND(COUNT(B14:B16)=3,MIN(B14:B16)&gt;=0,B15&lt;=100,B16&lt;=100,B14&gt;0,B15+B16&lt;=100),B14*(1-(B15+B16)/100),"입력 확인"),"입력 확인")</x:f>
        <x:v>24000</x:v>
      </x:c>
      <x:c r="C6" s="1"/>
      <x:c r="D6" s="1" t="str">
        <x:v>입력은 예시값입니다. 내 숫자로 바꾸세요.</x:v>
      </x:c>
    </x:row>
    <x:row r="7" ht="26" customHeight="1">
      <x:c r="A7" s="1" t="str">
        <x:v>순차 적용 할인율 (%)</x:v>
      </x:c>
      <x:c r="B7" s="7" t="n">
        <x:f>IFERROR(IF(AND(COUNT(B14:B16)=3,MIN(B14:B16)&gt;=0,B15&lt;=100,B16&lt;=100,B14&gt;0,B15+B16&lt;=100),(1-(1-B15/100)*(1-B16/100))*100,"입력 확인"),"입력 확인")</x:f>
        <x:v>18.999999999999993</x:v>
      </x:c>
      <x:c r="C7" s="1"/>
      <x:c r="D7" s="1" t="str">
        <x:v>비율은 6%라면 6을 입력합니다.</x:v>
      </x:c>
    </x:row>
    <x:row r="8" ht="26" customHeight="1">
      <x:c r="A8" s="1"/>
      <x:c r="B8" s="1"/>
      <x:c r="C8" s="1"/>
      <x:c r="D8" s="1" t="str">
        <x:v>현재 웹 입력값이 아닌 독립 엑셀 양식입니다.</x:v>
      </x:c>
    </x:row>
    <x:row r="9" ht="26" customHeight="1">
      <x:c r="A9" s="1"/>
      <x:c r="B9" s="1"/>
      <x:c r="C9" s="1"/>
      <x:c r="D9" s="1"/>
    </x:row>
    <x:row r="10" ht="26" customHeight="1">
      <x:c r="A10" s="1"/>
      <x:c r="B10" s="1"/>
      <x:c r="C10" s="1"/>
      <x:c r="D10" s="1"/>
    </x:row>
    <x:row r="11" ht="26" customHeight="1">
      <x:c r="A11" s="1"/>
      <x:c r="B11" s="1"/>
      <x:c r="C11" s="1"/>
      <x:c r="D11" s="1" t="str">
        <x:v>순차 가격 = 정상가×(1−첫</x:v>
      </x:c>
    </x:row>
    <x:row r="12" ht="26" customHeight="1">
      <x:c r="A12" s="1"/>
      <x:c r="B12" s="1"/>
      <x:c r="C12" s="1"/>
      <x:c r="D12" s="1" t="str">
        <x:v>비율)×(1−다음 비율). 같은 원금 가격</x:v>
      </x:c>
    </x:row>
    <x:row r="13" ht="26" customHeight="1">
      <x:c r="A13" s="4" t="str">
        <x:v>입력 항목</x:v>
      </x:c>
      <x:c r="B13" s="4" t="str">
        <x:v>노란 칸을 수정하세요</x:v>
      </x:c>
      <x:c r="C13" s="1"/>
      <x:c r="D13" s="1" t="e">
        <x:f> 정상가×(1−두 비율의 합). 실제</x:f>
        <x:v>#NAME?</x:v>
      </x:c>
    </x:row>
    <x:row r="14" ht="26" customHeight="1">
      <x:c r="A14" s="1" t="str">
        <x:v>정상가 (원)</x:v>
      </x:c>
      <x:c r="B14" s="6" t="n">
        <x:v>30000</x:v>
      </x:c>
      <x:c r="C14" s="1"/>
      <x:c r="D14" s="1" t="str">
        <x:v>결합 조건·한도·반올림은 플랫폼에서</x:v>
      </x:c>
    </x:row>
    <x:row r="15" ht="26" customHeight="1">
      <x:c r="A15" s="1" t="str">
        <x:v>첫 할인 (%)</x:v>
      </x:c>
      <x:c r="B15" s="6" t="n">
        <x:v>10</x:v>
      </x:c>
      <x:c r="C15" s="1"/>
      <x:c r="D15" s="1" t="str">
        <x:v>확인합니다.</x:v>
      </x:c>
    </x:row>
    <x:row r="16" ht="26" customHeight="1">
      <x:c r="A16" s="1" t="str">
        <x:v>다음 할인 (%)</x:v>
      </x:c>
      <x:c r="B16" s="6" t="n">
        <x:v>10</x:v>
      </x:c>
      <x:c r="C16" s="1"/>
      <x:c r="D16" s="1"/>
    </x:row>
    <x:row r="17" ht="26" customHeight="1">
      <x:c r="A17" s="1"/>
      <x:c r="B17" s="1"/>
      <x:c r="C17" s="1"/>
      <x:c r="D17" s="1"/>
    </x:row>
    <x:row r="18" ht="26" customHeight="1">
      <x:c r="A18" s="1"/>
      <x:c r="B18" s="1"/>
      <x:c r="C18" s="1"/>
      <x:c r="D18" s="1"/>
    </x:row>
    <x:row r="19" ht="26" customHeight="1">
      <x:c r="A19" s="1"/>
      <x:c r="B19" s="1"/>
      <x:c r="C19" s="1"/>
      <x:c r="D19" s="1"/>
    </x:row>
    <x:row r="20" ht="26" customHeight="1">
      <x:c r="A20" s="1"/>
      <x:c r="B20" s="1"/>
      <x:c r="C20" s="1"/>
      <x:c r="D20" s="1" t="str">
        <x:v>입력 확인: 빈칸·범위·양수 조건을 확인하세요.</x:v>
      </x:c>
    </x:row>
    <x:row r="21" ht="26" customHeight="1">
      <x:c r="A21" s="1"/>
      <x:c r="B21" s="1"/>
      <x:c r="C21" s="1"/>
      <x:c r="D21" s="1"/>
    </x:row>
    <x:row r="22" ht="26" customHeight="1">
      <x:c r="A22" s="1"/>
      <x:c r="B22" s="1"/>
      <x:c r="C22" s="1"/>
      <x:c r="D22" s="1"/>
    </x:row>
    <x:row r="23" ht="26" customHeight="1">
      <x:c r="A23" s="1"/>
      <x:c r="B23" s="1"/>
      <x:c r="C23" s="1"/>
      <x:c r="D23" s="1"/>
    </x:row>
    <x:row r="24" ht="26" customHeight="1">
      <x:c r="A24" s="1"/>
      <x:c r="B24" s="1"/>
      <x:c r="C24" s="1"/>
      <x:c r="D24" s="1"/>
    </x:row>
    <x:row r="25" ht="26" customHeight="1">
      <x:c r="A25" s="1"/>
      <x:c r="B25" s="1"/>
      <x:c r="C25" s="1"/>
      <x:c r="D25" s="1"/>
    </x:row>
    <x:row r="26" ht="26" customHeight="1">
      <x:c r="A26" s="1"/>
      <x:c r="B26" s="1"/>
      <x:c r="C26" s="1"/>
      <x:c r="D26" s="1"/>
    </x:row>
    <x:row r="27" ht="26" customHeight="1">
      <x:c r="A27" s="1"/>
      <x:c r="B27" s="1"/>
      <x:c r="C27" s="1"/>
      <x:c r="D27" s="1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  <x:col min="3" max="3" width="4" hidden="0" customWidth="1"/>
    <x:col min="4" max="4" width="50" hidden="0" customWidth="1"/>
  </x:cols>
  <x:sheetData>
    <x:row r="1" ht="26" customHeight="1">
      <x:c r="A1" s="1"/>
      <x:c r="B1" s="1"/>
      <x:c r="C1" s="1"/>
      <x:c r="D1" s="1"/>
    </x:row>
    <x:row r="2" ht="26" customHeight="1">
      <x:c r="A2" s="2" t="str">
        <x:v>008 실무 계산표</x:v>
      </x:c>
      <x:c r="B2" s="1"/>
      <x:c r="C2" s="1"/>
      <x:c r="D2" s="1" t="str">
        <x:v>팔아본 팀장의 실무노트</x:v>
      </x:c>
    </x:row>
    <x:row r="3" ht="26" customHeight="1">
      <x:c r="A3" s="1"/>
      <x:c r="B3" s="1"/>
      <x:c r="C3" s="1"/>
      <x:c r="D3" s="1"/>
    </x:row>
    <x:row r="4" ht="26" customHeight="1">
      <x:c r="A4" s="4" t="str">
        <x:v>계산 결과</x:v>
      </x:c>
      <x:c r="B4" s="4" t="str">
        <x:v>값</x:v>
      </x:c>
      <x:c r="C4" s="1"/>
      <x:c r="D4" s="1" t="str">
        <x:v>사용 방법</x:v>
      </x:c>
    </x:row>
    <x:row r="5" ht="26" customHeight="1">
      <x:c r="A5" s="1" t="str">
        <x:v>입금 전 잔액 (원)</x:v>
      </x:c>
      <x:c r="B5" s="8" t="n">
        <x:f>IFERROR(IF(AND(COUNT(B14:B16)=3,MIN(B14:B16)&gt;=0),B14-B15,"입력 확인"),"입력 확인")</x:f>
        <x:v>-200000</x:v>
      </x:c>
      <x:c r="C5" s="1"/>
      <x:c r="D5" s="1" t="str">
        <x:v>시트 번호는 글 번호와 같습니다.</x:v>
      </x:c>
    </x:row>
    <x:row r="6" ht="26" customHeight="1">
      <x:c r="A6" s="1" t="str">
        <x:v>부족액 (원)</x:v>
      </x:c>
      <x:c r="B6" s="8" t="n">
        <x:f>IFERROR(IF(AND(COUNT(B14:B16)=3,MIN(B14:B16)&gt;=0),MAX(0,B15-B14),"입력 확인"),"입력 확인")</x:f>
        <x:v>200000</x:v>
      </x:c>
      <x:c r="C6" s="1"/>
      <x:c r="D6" s="1" t="str">
        <x:v>입력은 예시값입니다. 내 숫자로 바꾸세요.</x:v>
      </x:c>
    </x:row>
    <x:row r="7" ht="26" customHeight="1">
      <x:c r="A7" s="1" t="str">
        <x:v>입금 후 잔액 (원)</x:v>
      </x:c>
      <x:c r="B7" s="8" t="n">
        <x:f>IFERROR(IF(AND(COUNT(B14:B16)=3,MIN(B14:B16)&gt;=0),B14-B15+B16,"입력 확인"),"입력 확인")</x:f>
        <x:v>1800000</x:v>
      </x:c>
      <x:c r="C7" s="1"/>
      <x:c r="D7" s="1" t="str">
        <x:v>비율은 6%라면 6을 입력합니다.</x:v>
      </x:c>
    </x:row>
    <x:row r="8" ht="26" customHeight="1">
      <x:c r="A8" s="1"/>
      <x:c r="B8" s="1"/>
      <x:c r="C8" s="1"/>
      <x:c r="D8" s="1" t="str">
        <x:v>현재 웹 입력값이 아닌 독립 엑셀 양식입니다.</x:v>
      </x:c>
    </x:row>
    <x:row r="9" ht="26" customHeight="1">
      <x:c r="A9" s="1"/>
      <x:c r="B9" s="1"/>
      <x:c r="C9" s="1"/>
      <x:c r="D9" s="1"/>
    </x:row>
    <x:row r="10" ht="26" customHeight="1">
      <x:c r="A10" s="1"/>
      <x:c r="B10" s="1"/>
      <x:c r="C10" s="1"/>
      <x:c r="D10" s="1"/>
    </x:row>
    <x:row r="11" ht="26" customHeight="1">
      <x:c r="A11" s="1"/>
      <x:c r="B11" s="1"/>
      <x:c r="C11" s="1"/>
      <x:c r="D11" s="1" t="str">
        <x:v>중간 잔액 = 시작잔액−선지급. 이후 잔액</x:v>
      </x:c>
    </x:row>
    <x:row r="12" ht="26" customHeight="1">
      <x:c r="A12" s="1"/>
      <x:c r="B12" s="1"/>
      <x:c r="C12" s="1"/>
      <x:c r="D12" s="1" t="e">
        <x:f> 중간잔액+정산. 입금 전에 지출하는 한</x:f>
        <x:v>#NAME?</x:v>
      </x:c>
    </x:row>
    <x:row r="13" ht="26" customHeight="1">
      <x:c r="A13" s="4" t="str">
        <x:v>입력 항목</x:v>
      </x:c>
      <x:c r="B13" s="4" t="str">
        <x:v>노란 칸을 수정하세요</x:v>
      </x:c>
      <x:c r="C13" s="1"/>
      <x:c r="D13" s="1" t="str">
        <x:v>사이클만 비교하며 다른 입출금은</x:v>
      </x:c>
    </x:row>
    <x:row r="14" ht="26" customHeight="1">
      <x:c r="A14" s="1" t="str">
        <x:v>시작 잔액 (원)</x:v>
      </x:c>
      <x:c r="B14" s="6" t="n">
        <x:v>1000000</x:v>
      </x:c>
      <x:c r="C14" s="1"/>
      <x:c r="D14" s="1" t="str">
        <x:v>제외합니다.</x:v>
      </x:c>
    </x:row>
    <x:row r="15" ht="26" customHeight="1">
      <x:c r="A15" s="1" t="str">
        <x:v>입금 전 지급액 (원)</x:v>
      </x:c>
      <x:c r="B15" s="6" t="n">
        <x:v>1200000</x:v>
      </x:c>
      <x:c r="C15" s="1"/>
      <x:c r="D15" s="1"/>
    </x:row>
    <x:row r="16" ht="26" customHeight="1">
      <x:c r="A16" s="1" t="str">
        <x:v>이후 정산 입금 (원)</x:v>
      </x:c>
      <x:c r="B16" s="6" t="n">
        <x:v>2000000</x:v>
      </x:c>
      <x:c r="C16" s="1"/>
      <x:c r="D16" s="1"/>
    </x:row>
    <x:row r="17" ht="26" customHeight="1">
      <x:c r="A17" s="1"/>
      <x:c r="B17" s="1"/>
      <x:c r="C17" s="1"/>
      <x:c r="D17" s="1"/>
    </x:row>
    <x:row r="18" ht="26" customHeight="1">
      <x:c r="A18" s="1"/>
      <x:c r="B18" s="1"/>
      <x:c r="C18" s="1"/>
      <x:c r="D18" s="1"/>
    </x:row>
    <x:row r="19" ht="26" customHeight="1">
      <x:c r="A19" s="1"/>
      <x:c r="B19" s="1"/>
      <x:c r="C19" s="1"/>
      <x:c r="D19" s="1"/>
    </x:row>
    <x:row r="20" ht="26" customHeight="1">
      <x:c r="A20" s="1"/>
      <x:c r="B20" s="1"/>
      <x:c r="C20" s="1"/>
      <x:c r="D20" s="1" t="str">
        <x:v>입력 확인: 빈칸·범위·양수 조건을 확인하세요.</x:v>
      </x:c>
    </x:row>
    <x:row r="21" ht="26" customHeight="1">
      <x:c r="A21" s="1"/>
      <x:c r="B21" s="1"/>
      <x:c r="C21" s="1"/>
      <x:c r="D21" s="1"/>
    </x:row>
    <x:row r="22" ht="26" customHeight="1">
      <x:c r="A22" s="1"/>
      <x:c r="B22" s="1"/>
      <x:c r="C22" s="1"/>
      <x:c r="D22" s="1"/>
    </x:row>
    <x:row r="23" ht="26" customHeight="1">
      <x:c r="A23" s="1"/>
      <x:c r="B23" s="1"/>
      <x:c r="C23" s="1"/>
      <x:c r="D23" s="1"/>
    </x:row>
    <x:row r="24" ht="26" customHeight="1">
      <x:c r="A24" s="1"/>
      <x:c r="B24" s="1"/>
      <x:c r="C24" s="1"/>
      <x:c r="D24" s="1"/>
    </x:row>
    <x:row r="25" ht="26" customHeight="1">
      <x:c r="A25" s="1"/>
      <x:c r="B25" s="1"/>
      <x:c r="C25" s="1"/>
      <x:c r="D25" s="1"/>
    </x:row>
    <x:row r="26" ht="26" customHeight="1">
      <x:c r="A26" s="1"/>
      <x:c r="B26" s="1"/>
      <x:c r="C26" s="1"/>
      <x:c r="D26" s="1"/>
    </x:row>
    <x:row r="27" ht="26" customHeight="1">
      <x:c r="A27" s="1"/>
      <x:c r="B27" s="1"/>
      <x:c r="C27" s="1"/>
      <x:c r="D27" s="1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  <x:col min="3" max="3" width="4" hidden="0" customWidth="1"/>
    <x:col min="4" max="4" width="50" hidden="0" customWidth="1"/>
  </x:cols>
  <x:sheetData>
    <x:row r="1" ht="26" customHeight="1">
      <x:c r="A1" s="1"/>
      <x:c r="B1" s="1"/>
      <x:c r="C1" s="1"/>
      <x:c r="D1" s="1"/>
    </x:row>
    <x:row r="2" ht="26" customHeight="1">
      <x:c r="A2" s="2" t="str">
        <x:v>009 실무 계산표</x:v>
      </x:c>
      <x:c r="B2" s="1"/>
      <x:c r="C2" s="1"/>
      <x:c r="D2" s="1" t="str">
        <x:v>팔아본 팀장의 실무노트</x:v>
      </x:c>
    </x:row>
    <x:row r="3" ht="26" customHeight="1">
      <x:c r="A3" s="1"/>
      <x:c r="B3" s="1"/>
      <x:c r="C3" s="1"/>
      <x:c r="D3" s="1"/>
    </x:row>
    <x:row r="4" ht="26" customHeight="1">
      <x:c r="A4" s="4" t="str">
        <x:v>계산 결과</x:v>
      </x:c>
      <x:c r="B4" s="4" t="str">
        <x:v>값</x:v>
      </x:c>
      <x:c r="C4" s="1"/>
      <x:c r="D4" s="1" t="str">
        <x:v>사용 방법</x:v>
      </x:c>
    </x:row>
    <x:row r="5" ht="26" customHeight="1">
      <x:c r="A5" s="1" t="str">
        <x:v>반품 반영 기여금 (원)</x:v>
      </x:c>
      <x:c r="B5" s="8" t="n">
        <x:f>IFERROR(IF(AND(COUNT(B14:B17)=4,MIN(B14:B17)&gt;=0,MOD(B14,1)=0,MOD(B15,1)=0,MOD(B17,1)=0,B14&gt;0,B15&lt;=B14),(B14-B15)*B16-B15*B17,"입력 확인"),"입력 확인")</x:f>
        <x:v>889000</x:v>
      </x:c>
      <x:c r="C5" s="1"/>
      <x:c r="D5" s="1" t="str">
        <x:v>시트 번호는 글 번호와 같습니다.</x:v>
      </x:c>
    </x:row>
    <x:row r="6" ht="26" customHeight="1">
      <x:c r="A6" s="1" t="str">
        <x:v>반품 전 대비 감소 (원)</x:v>
      </x:c>
      <x:c r="B6" s="8" t="n">
        <x:f>IFERROR(IF(AND(COUNT(B14:B17)=4,MIN(B14:B17)&gt;=0,MOD(B14,1)=0,MOD(B15,1)=0,MOD(B17,1)=0,B14&gt;0,B15&lt;=B14),B14*B16-B5,"입력 확인"),"입력 확인")</x:f>
        <x:v>81000</x:v>
      </x:c>
      <x:c r="C6" s="1"/>
      <x:c r="D6" s="1" t="str">
        <x:v>입력은 예시값입니다. 내 숫자로 바꾸세요.</x:v>
      </x:c>
    </x:row>
    <x:row r="7" ht="26" customHeight="1">
      <x:c r="A7" s="1" t="str">
        <x:v>주문 기준 반품률 (%)</x:v>
      </x:c>
      <x:c r="B7" s="7" t="n">
        <x:f>IFERROR(IF(AND(COUNT(B14:B17)=4,MIN(B14:B17)&gt;=0,MOD(B14,1)=0,MOD(B15,1)=0,MOD(B17,1)=0,B14&gt;0,B15&lt;=B14),B15/B14*100,"입력 확인"),"입력 확인")</x:f>
        <x:v>5</x:v>
      </x:c>
      <x:c r="C7" s="1"/>
      <x:c r="D7" s="1" t="str">
        <x:v>비율은 6%라면 6을 입력합니다.</x:v>
      </x:c>
    </x:row>
    <x:row r="8" ht="26" customHeight="1">
      <x:c r="A8" s="1"/>
      <x:c r="B8" s="1"/>
      <x:c r="C8" s="1"/>
      <x:c r="D8" s="1" t="str">
        <x:v>현재 웹 입력값이 아닌 독립 엑셀 양식입니다.</x:v>
      </x:c>
    </x:row>
    <x:row r="9" ht="26" customHeight="1">
      <x:c r="A9" s="1"/>
      <x:c r="B9" s="1"/>
      <x:c r="C9" s="1"/>
      <x:c r="D9" s="1"/>
    </x:row>
    <x:row r="10" ht="26" customHeight="1">
      <x:c r="A10" s="1"/>
      <x:c r="B10" s="1"/>
      <x:c r="C10" s="1"/>
      <x:c r="D10" s="1"/>
    </x:row>
    <x:row r="11" ht="26" customHeight="1">
      <x:c r="A11" s="1"/>
      <x:c r="B11" s="1"/>
      <x:c r="C11" s="1"/>
      <x:c r="D11" s="1" t="str">
        <x:v>합계 = (전체−반품)×정상</x:v>
      </x:c>
    </x:row>
    <x:row r="12" ht="26" customHeight="1">
      <x:c r="A12" s="1"/>
      <x:c r="B12" s="1"/>
      <x:c r="C12" s="1"/>
      <x:c r="D12" s="1" t="str">
        <x:v>기여금−반품×회수 못한 비용. 전액 환불,</x:v>
      </x:c>
    </x:row>
    <x:row r="13" ht="26" customHeight="1">
      <x:c r="A13" s="4" t="str">
        <x:v>입력 항목</x:v>
      </x:c>
      <x:c r="B13" s="4" t="str">
        <x:v>노란 칸을 수정하세요</x:v>
      </x:c>
      <x:c r="C13" s="1"/>
      <x:c r="D13" s="1" t="str">
        <x:v>회수품 재판매 가능, 고객 부담금 없음의</x:v>
      </x:c>
    </x:row>
    <x:row r="14" ht="26" customHeight="1">
      <x:c r="A14" s="1" t="str">
        <x:v>전체 주문 수 (건)</x:v>
      </x:c>
      <x:c r="B14" s="6" t="n">
        <x:v>100</x:v>
      </x:c>
      <x:c r="C14" s="1"/>
      <x:c r="D14" s="1" t="str">
        <x:v>가정입니다. 비용은 실제 남은 항목만</x:v>
      </x:c>
    </x:row>
    <x:row r="15" ht="26" customHeight="1">
      <x:c r="A15" s="1" t="str">
        <x:v>반품 주문 수 (건)</x:v>
      </x:c>
      <x:c r="B15" s="6" t="n">
        <x:v>5</x:v>
      </x:c>
      <x:c r="C15" s="1"/>
      <x:c r="D15" s="1" t="str">
        <x:v>넣습니다.</x:v>
      </x:c>
    </x:row>
    <x:row r="16" ht="26" customHeight="1">
      <x:c r="A16" s="1" t="str">
        <x:v>정상 주문 기여금 (원)</x:v>
      </x:c>
      <x:c r="B16" s="6" t="n">
        <x:v>9700</x:v>
      </x:c>
      <x:c r="C16" s="1"/>
      <x:c r="D16" s="1"/>
    </x:row>
    <x:row r="17" ht="26" customHeight="1">
      <x:c r="A17" s="1" t="str">
        <x:v>반품 건당 회수 못한 비용 (원)</x:v>
      </x:c>
      <x:c r="B17" s="6" t="n">
        <x:v>6500</x:v>
      </x:c>
      <x:c r="C17" s="1"/>
      <x:c r="D17" s="1"/>
    </x:row>
    <x:row r="18" ht="26" customHeight="1">
      <x:c r="A18" s="1"/>
      <x:c r="B18" s="1"/>
      <x:c r="C18" s="1"/>
      <x:c r="D18" s="1"/>
    </x:row>
    <x:row r="19" ht="26" customHeight="1">
      <x:c r="A19" s="1"/>
      <x:c r="B19" s="1"/>
      <x:c r="C19" s="1"/>
      <x:c r="D19" s="1"/>
    </x:row>
    <x:row r="20" ht="26" customHeight="1">
      <x:c r="A20" s="1"/>
      <x:c r="B20" s="1"/>
      <x:c r="C20" s="1"/>
      <x:c r="D20" s="1" t="str">
        <x:v>입력 확인: 빈칸·범위·양수 조건을 확인하세요.</x:v>
      </x:c>
    </x:row>
    <x:row r="21" ht="26" customHeight="1">
      <x:c r="A21" s="1"/>
      <x:c r="B21" s="1"/>
      <x:c r="C21" s="1"/>
      <x:c r="D21" s="1"/>
    </x:row>
    <x:row r="22" ht="26" customHeight="1">
      <x:c r="A22" s="1"/>
      <x:c r="B22" s="1"/>
      <x:c r="C22" s="1"/>
      <x:c r="D22" s="1"/>
    </x:row>
    <x:row r="23" ht="26" customHeight="1">
      <x:c r="A23" s="1"/>
      <x:c r="B23" s="1"/>
      <x:c r="C23" s="1"/>
      <x:c r="D23" s="1"/>
    </x:row>
    <x:row r="24" ht="26" customHeight="1">
      <x:c r="A24" s="1"/>
      <x:c r="B24" s="1"/>
      <x:c r="C24" s="1"/>
      <x:c r="D24" s="1"/>
    </x:row>
    <x:row r="25" ht="26" customHeight="1">
      <x:c r="A25" s="1"/>
      <x:c r="B25" s="1"/>
      <x:c r="C25" s="1"/>
      <x:c r="D25" s="1"/>
    </x:row>
    <x:row r="26" ht="26" customHeight="1">
      <x:c r="A26" s="1"/>
      <x:c r="B26" s="1"/>
      <x:c r="C26" s="1"/>
      <x:c r="D26" s="1"/>
    </x:row>
    <x:row r="27" ht="26" customHeight="1">
      <x:c r="A27" s="1"/>
      <x:c r="B27" s="1"/>
      <x:c r="C27" s="1"/>
      <x:c r="D27" s="1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  <x:col min="3" max="3" width="4" hidden="0" customWidth="1"/>
    <x:col min="4" max="4" width="50" hidden="0" customWidth="1"/>
  </x:cols>
  <x:sheetData>
    <x:row r="1" ht="26" customHeight="1">
      <x:c r="A1" s="1"/>
      <x:c r="B1" s="1"/>
      <x:c r="C1" s="1"/>
      <x:c r="D1" s="1"/>
    </x:row>
    <x:row r="2" ht="26" customHeight="1">
      <x:c r="A2" s="2" t="str">
        <x:v>010 실무 계산표</x:v>
      </x:c>
      <x:c r="B2" s="1"/>
      <x:c r="C2" s="1"/>
      <x:c r="D2" s="1" t="str">
        <x:v>팔아본 팀장의 실무노트</x:v>
      </x:c>
    </x:row>
    <x:row r="3" ht="26" customHeight="1">
      <x:c r="A3" s="1"/>
      <x:c r="B3" s="1"/>
      <x:c r="C3" s="1"/>
      <x:c r="D3" s="1"/>
    </x:row>
    <x:row r="4" ht="26" customHeight="1">
      <x:c r="A4" s="4" t="str">
        <x:v>계산 결과</x:v>
      </x:c>
      <x:c r="B4" s="4" t="str">
        <x:v>값</x:v>
      </x:c>
      <x:c r="C4" s="1"/>
      <x:c r="D4" s="1" t="str">
        <x:v>사용 방법</x:v>
      </x:c>
    </x:row>
    <x:row r="5" ht="26" customHeight="1">
      <x:c r="A5" s="1" t="str">
        <x:v>발급 액면 금액 (원)</x:v>
      </x:c>
      <x:c r="B5" s="8" t="n">
        <x:f>IFERROR(IF(AND(COUNT(B14:B16)=3,MIN(B14:B16)&gt;=0,MOD(B14,1)=0,MOD(B15,1)=0,B16&lt;=100),B14*B15,"입력 확인"),"입력 확인")</x:f>
        <x:v>100000</x:v>
      </x:c>
      <x:c r="C5" s="1"/>
      <x:c r="D5" s="1" t="str">
        <x:v>시트 번호는 글 번호와 같습니다.</x:v>
      </x:c>
    </x:row>
    <x:row r="6" ht="26" customHeight="1">
      <x:c r="A6" s="1" t="str">
        <x:v>가상 액면 사용액 (원)</x:v>
      </x:c>
      <x:c r="B6" s="8" t="n">
        <x:f>IFERROR(IF(AND(COUNT(B14:B16)=3,MIN(B14:B16)&gt;=0,MOD(B14,1)=0,MOD(B15,1)=0,B16&lt;=100),B5*B16/100,"입력 확인"),"입력 확인")</x:f>
        <x:v>60000</x:v>
      </x:c>
      <x:c r="C6" s="1"/>
      <x:c r="D6" s="1" t="str">
        <x:v>입력은 예시값입니다. 내 숫자로 바꾸세요.</x:v>
      </x:c>
    </x:row>
    <x:row r="7" ht="26" customHeight="1">
      <x:c r="A7" s="1" t="str">
        <x:v>가상 미사용 잔액 (원)</x:v>
      </x:c>
      <x:c r="B7" s="8" t="n">
        <x:f>IFERROR(IF(AND(COUNT(B14:B16)=3,MIN(B14:B16)&gt;=0,MOD(B14,1)=0,MOD(B15,1)=0,B16&lt;=100),B5*(1-B16/100),"입력 확인"),"입력 확인")</x:f>
        <x:v>40000</x:v>
      </x:c>
      <x:c r="C7" s="1"/>
      <x:c r="D7" s="1" t="str">
        <x:v>비율은 6%라면 6을 입력합니다.</x:v>
      </x:c>
    </x:row>
    <x:row r="8" ht="26" customHeight="1">
      <x:c r="A8" s="1"/>
      <x:c r="B8" s="1"/>
      <x:c r="C8" s="1"/>
      <x:c r="D8" s="1" t="str">
        <x:v>현재 웹 입력값이 아닌 독립 엑셀 양식입니다.</x:v>
      </x:c>
    </x:row>
    <x:row r="9" ht="26" customHeight="1">
      <x:c r="A9" s="1"/>
      <x:c r="B9" s="1"/>
      <x:c r="C9" s="1"/>
      <x:c r="D9" s="1"/>
    </x:row>
    <x:row r="10" ht="26" customHeight="1">
      <x:c r="A10" s="1"/>
      <x:c r="B10" s="1"/>
      <x:c r="C10" s="1"/>
      <x:c r="D10" s="1"/>
    </x:row>
    <x:row r="11" ht="26" customHeight="1">
      <x:c r="A11" s="1"/>
      <x:c r="B11" s="1"/>
      <x:c r="C11" s="1"/>
      <x:c r="D11" s="1" t="str">
        <x:v>발급액 = 건수×건당 혜택. 가상 액면</x:v>
      </x:c>
    </x:row>
    <x:row r="12" ht="26" customHeight="1">
      <x:c r="A12" s="1"/>
      <x:c r="B12" s="1"/>
      <x:c r="C12" s="1"/>
      <x:c r="D12" s="1" t="str">
        <x:v>사용액 = 발급액×사용률. 판매자 무상</x:v>
      </x:c>
    </x:row>
    <x:row r="13" ht="26" customHeight="1">
      <x:c r="A13" s="4" t="str">
        <x:v>입력 항목</x:v>
      </x:c>
      <x:c r="B13" s="4" t="str">
        <x:v>노란 칸을 수정하세요</x:v>
      </x:c>
      <x:c r="C13" s="1"/>
      <x:c r="D13" s="1" t="str">
        <x:v>혜택만 대상이며 회계 인식·추가 구매</x:v>
      </x:c>
    </x:row>
    <x:row r="14" ht="26" customHeight="1">
      <x:c r="A14" s="1" t="str">
        <x:v>발급 대상 주문 수 (건)</x:v>
      </x:c>
      <x:c r="B14" s="6" t="n">
        <x:v>100</x:v>
      </x:c>
      <x:c r="C14" s="1"/>
      <x:c r="D14" s="1" t="str">
        <x:v>기여금·수수료 변화는 계산하지 않습니다.</x:v>
      </x:c>
    </x:row>
    <x:row r="15" ht="26" customHeight="1">
      <x:c r="A15" s="1" t="str">
        <x:v>건당 무상 혜택 (원)</x:v>
      </x:c>
      <x:c r="B15" s="6" t="n">
        <x:v>1000</x:v>
      </x:c>
      <x:c r="C15" s="1"/>
      <x:c r="D15" s="1"/>
    </x:row>
    <x:row r="16" ht="26" customHeight="1">
      <x:c r="A16" s="1" t="str">
        <x:v>가정한 액면 사용률 (%)</x:v>
      </x:c>
      <x:c r="B16" s="6" t="n">
        <x:v>60</x:v>
      </x:c>
      <x:c r="C16" s="1"/>
      <x:c r="D16" s="1"/>
    </x:row>
    <x:row r="17" ht="26" customHeight="1">
      <x:c r="A17" s="1"/>
      <x:c r="B17" s="1"/>
      <x:c r="C17" s="1"/>
      <x:c r="D17" s="1"/>
    </x:row>
    <x:row r="18" ht="26" customHeight="1">
      <x:c r="A18" s="1"/>
      <x:c r="B18" s="1"/>
      <x:c r="C18" s="1"/>
      <x:c r="D18" s="1"/>
    </x:row>
    <x:row r="19" ht="26" customHeight="1">
      <x:c r="A19" s="1"/>
      <x:c r="B19" s="1"/>
      <x:c r="C19" s="1"/>
      <x:c r="D19" s="1"/>
    </x:row>
    <x:row r="20" ht="26" customHeight="1">
      <x:c r="A20" s="1"/>
      <x:c r="B20" s="1"/>
      <x:c r="C20" s="1"/>
      <x:c r="D20" s="1" t="str">
        <x:v>입력 확인: 빈칸·범위·양수 조건을 확인하세요.</x:v>
      </x:c>
    </x:row>
    <x:row r="21" ht="26" customHeight="1">
      <x:c r="A21" s="1"/>
      <x:c r="B21" s="1"/>
      <x:c r="C21" s="1"/>
      <x:c r="D21" s="1"/>
    </x:row>
    <x:row r="22" ht="26" customHeight="1">
      <x:c r="A22" s="1"/>
      <x:c r="B22" s="1"/>
      <x:c r="C22" s="1"/>
      <x:c r="D22" s="1"/>
    </x:row>
    <x:row r="23" ht="26" customHeight="1">
      <x:c r="A23" s="1"/>
      <x:c r="B23" s="1"/>
      <x:c r="C23" s="1"/>
      <x:c r="D23" s="1"/>
    </x:row>
    <x:row r="24" ht="26" customHeight="1">
      <x:c r="A24" s="1"/>
      <x:c r="B24" s="1"/>
      <x:c r="C24" s="1"/>
      <x:c r="D24" s="1"/>
    </x:row>
    <x:row r="25" ht="26" customHeight="1">
      <x:c r="A25" s="1"/>
      <x:c r="B25" s="1"/>
      <x:c r="C25" s="1"/>
      <x:c r="D25" s="1"/>
    </x:row>
    <x:row r="26" ht="26" customHeight="1">
      <x:c r="A26" s="1"/>
      <x:c r="B26" s="1"/>
      <x:c r="C26" s="1"/>
      <x:c r="D26" s="1"/>
    </x:row>
    <x:row r="27" ht="26" customHeight="1">
      <x:c r="A27" s="1"/>
      <x:c r="B27" s="1"/>
      <x:c r="C27" s="1"/>
      <x:c r="D27" s="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  <x:col min="3" max="3" width="4" hidden="0" customWidth="1"/>
    <x:col min="4" max="4" width="50" hidden="0" customWidth="1"/>
  </x:cols>
  <x:sheetData>
    <x:row r="1" ht="26" customHeight="1">
      <x:c r="A1" s="1"/>
      <x:c r="B1" s="1"/>
      <x:c r="C1" s="1"/>
      <x:c r="D1" s="1"/>
    </x:row>
    <x:row r="2" ht="26" customHeight="1">
      <x:c r="A2" s="2" t="str">
        <x:v>012 실무 계산표</x:v>
      </x:c>
      <x:c r="B2" s="1"/>
      <x:c r="C2" s="1"/>
      <x:c r="D2" s="1" t="str">
        <x:v>팔아본 팀장의 실무노트</x:v>
      </x:c>
    </x:row>
    <x:row r="3" ht="26" customHeight="1">
      <x:c r="A3" s="1"/>
      <x:c r="B3" s="1"/>
      <x:c r="C3" s="1"/>
      <x:c r="D3" s="1"/>
    </x:row>
    <x:row r="4" ht="26" customHeight="1">
      <x:c r="A4" s="4" t="str">
        <x:v>계산 결과</x:v>
      </x:c>
      <x:c r="B4" s="4" t="str">
        <x:v>값</x:v>
      </x:c>
      <x:c r="C4" s="1"/>
      <x:c r="D4" s="1" t="str">
        <x:v>사용 방법</x:v>
      </x:c>
    </x:row>
    <x:row r="5" ht="26" customHeight="1">
      <x:c r="A5" s="1" t="str">
        <x:v>예상 주문 수 (건)</x:v>
      </x:c>
      <x:c r="B5" s="7" t="n">
        <x:f>IFERROR(IF(AND(COUNT(B14:B17)=4,MIN(B14:B17)&gt;=0,B16&lt;=100,B14&gt;0,B17&gt;0),B14*B16/100,"입력 확인"),"입력 확인")</x:f>
        <x:v>20</x:v>
      </x:c>
      <x:c r="C5" s="1"/>
      <x:c r="D5" s="1" t="str">
        <x:v>시트 번호는 글 번호와 같습니다.</x:v>
      </x:c>
    </x:row>
    <x:row r="6" ht="26" customHeight="1">
      <x:c r="A6" s="1" t="str">
        <x:v>광고비 (원)</x:v>
      </x:c>
      <x:c r="B6" s="8" t="n">
        <x:f>IFERROR(IF(AND(COUNT(B14:B17)=4,MIN(B14:B17)&gt;=0,B16&lt;=100,B14&gt;0,B17&gt;0),B14*B15,"입력 확인"),"입력 확인")</x:f>
        <x:v>500000</x:v>
      </x:c>
      <x:c r="C6" s="1"/>
      <x:c r="D6" s="1" t="str">
        <x:v>입력은 예시값입니다. 내 숫자로 바꾸세요.</x:v>
      </x:c>
    </x:row>
    <x:row r="7" ht="26" customHeight="1">
      <x:c r="A7" s="1" t="str">
        <x:v>광고 후 기여금 (원)</x:v>
      </x:c>
      <x:c r="B7" s="8" t="n">
        <x:f>IFERROR(IF(AND(COUNT(B14:B17)=4,MIN(B14:B17)&gt;=0,B16&lt;=100,B14&gt;0,B17&gt;0),B5*B17-B6,"입력 확인"),"입력 확인")</x:f>
        <x:v>100000</x:v>
      </x:c>
      <x:c r="C7" s="1"/>
      <x:c r="D7" s="1" t="str">
        <x:v>비율은 6%라면 6을 입력합니다.</x:v>
      </x:c>
    </x:row>
    <x:row r="8" ht="26" customHeight="1">
      <x:c r="A8" s="1" t="str">
        <x:v>광고비 회수 전환율 (%)</x:v>
      </x:c>
      <x:c r="B8" s="7" t="n">
        <x:f>IFERROR(IF(AND(COUNT(B14:B17)=4,MIN(B14:B17)&gt;=0,B16&lt;=100,B14&gt;0,B17&gt;0),B15/B17*100,"입력 확인"),"입력 확인")</x:f>
        <x:v>1.6666666666666667</x:v>
      </x:c>
      <x:c r="C8" s="1"/>
      <x:c r="D8" s="1" t="str">
        <x:v>현재 웹 입력값이 아닌 독립 엑셀 양식입니다.</x:v>
      </x:c>
    </x:row>
    <x:row r="9" ht="26" customHeight="1">
      <x:c r="A9" s="1"/>
      <x:c r="B9" s="1"/>
      <x:c r="C9" s="1"/>
      <x:c r="D9" s="1"/>
    </x:row>
    <x:row r="10" ht="26" customHeight="1">
      <x:c r="A10" s="1"/>
      <x:c r="B10" s="1"/>
      <x:c r="C10" s="1"/>
      <x:c r="D10" s="1"/>
    </x:row>
    <x:row r="11" ht="26" customHeight="1">
      <x:c r="A11" s="1"/>
      <x:c r="B11" s="1"/>
      <x:c r="C11" s="1"/>
      <x:c r="D11" s="1" t="str">
        <x:v>예상 주문 = 클릭×전환율. 광고 후</x:v>
      </x:c>
    </x:row>
    <x:row r="12" ht="26" customHeight="1">
      <x:c r="A12" s="1"/>
      <x:c r="B12" s="1"/>
      <x:c r="C12" s="1"/>
      <x:c r="D12" s="1" t="str">
        <x:v>기여금 = 예상 주문×주문</x:v>
      </x:c>
    </x:row>
    <x:row r="13" ht="26" customHeight="1">
      <x:c r="A13" s="4" t="str">
        <x:v>입력 항목</x:v>
      </x:c>
      <x:c r="B13" s="4" t="str">
        <x:v>노란 칸을 수정하세요</x:v>
      </x:c>
      <x:c r="C13" s="1"/>
      <x:c r="D13" s="1" t="str">
        <x:v>기여금−클릭×CPC. 예상 건수는 소수도</x:v>
      </x:c>
    </x:row>
    <x:row r="14" ht="26" customHeight="1">
      <x:c r="A14" s="1" t="str">
        <x:v>클릭 수 (회)</x:v>
      </x:c>
      <x:c r="B14" s="6" t="n">
        <x:v>1000</x:v>
      </x:c>
      <x:c r="C14" s="1"/>
      <x:c r="D14" s="1" t="str">
        <x:v>표시합니다. 실제 주문 예측이나 통계</x:v>
      </x:c>
    </x:row>
    <x:row r="15" ht="26" customHeight="1">
      <x:c r="A15" s="1" t="str">
        <x:v>평균 CPC (원)</x:v>
      </x:c>
      <x:c r="B15" s="6" t="n">
        <x:v>500</x:v>
      </x:c>
      <x:c r="C15" s="1"/>
      <x:c r="D15" s="1" t="str">
        <x:v>검정이 아닙니다.</x:v>
      </x:c>
    </x:row>
    <x:row r="16" ht="26" customHeight="1">
      <x:c r="A16" s="1" t="str">
        <x:v>구매 전환율 (%)</x:v>
      </x:c>
      <x:c r="B16" s="6" t="n">
        <x:v>2</x:v>
      </x:c>
      <x:c r="C16" s="1"/>
      <x:c r="D16" s="1"/>
    </x:row>
    <x:row r="17" ht="26" customHeight="1">
      <x:c r="A17" s="1" t="str">
        <x:v>광고 전 주문 기여금 (원)</x:v>
      </x:c>
      <x:c r="B17" s="6" t="n">
        <x:v>30000</x:v>
      </x:c>
      <x:c r="C17" s="1"/>
      <x:c r="D17" s="1"/>
    </x:row>
    <x:row r="18" ht="26" customHeight="1">
      <x:c r="A18" s="1"/>
      <x:c r="B18" s="1"/>
      <x:c r="C18" s="1"/>
      <x:c r="D18" s="1"/>
    </x:row>
    <x:row r="19" ht="26" customHeight="1">
      <x:c r="A19" s="1"/>
      <x:c r="B19" s="1"/>
      <x:c r="C19" s="1"/>
      <x:c r="D19" s="1"/>
    </x:row>
    <x:row r="20" ht="26" customHeight="1">
      <x:c r="A20" s="1"/>
      <x:c r="B20" s="1"/>
      <x:c r="C20" s="1"/>
      <x:c r="D20" s="1" t="str">
        <x:v>입력 확인: 빈칸·범위·양수 조건을 확인하세요.</x:v>
      </x:c>
    </x:row>
    <x:row r="21" ht="26" customHeight="1">
      <x:c r="A21" s="1"/>
      <x:c r="B21" s="1"/>
      <x:c r="C21" s="1"/>
      <x:c r="D21" s="1"/>
    </x:row>
    <x:row r="22" ht="26" customHeight="1">
      <x:c r="A22" s="1"/>
      <x:c r="B22" s="1"/>
      <x:c r="C22" s="1"/>
      <x:c r="D22" s="1"/>
    </x:row>
    <x:row r="23" ht="26" customHeight="1">
      <x:c r="A23" s="1"/>
      <x:c r="B23" s="1"/>
      <x:c r="C23" s="1"/>
      <x:c r="D23" s="1"/>
    </x:row>
    <x:row r="24" ht="26" customHeight="1">
      <x:c r="A24" s="1"/>
      <x:c r="B24" s="1"/>
      <x:c r="C24" s="1"/>
      <x:c r="D24" s="1"/>
    </x:row>
    <x:row r="25" ht="26" customHeight="1">
      <x:c r="A25" s="1"/>
      <x:c r="B25" s="1"/>
      <x:c r="C25" s="1"/>
      <x:c r="D25" s="1"/>
    </x:row>
    <x:row r="26" ht="26" customHeight="1">
      <x:c r="A26" s="1"/>
      <x:c r="B26" s="1"/>
      <x:c r="C26" s="1"/>
      <x:c r="D26" s="1"/>
    </x:row>
    <x:row r="27" ht="26" customHeight="1">
      <x:c r="A27" s="1"/>
      <x:c r="B27" s="1"/>
      <x:c r="C27" s="1"/>
      <x:c r="D27" s="1"/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  <x:col min="3" max="3" width="4" hidden="0" customWidth="1"/>
    <x:col min="4" max="4" width="50" hidden="0" customWidth="1"/>
  </x:cols>
  <x:sheetData>
    <x:row r="1" ht="26" customHeight="1">
      <x:c r="A1" s="1"/>
      <x:c r="B1" s="1"/>
      <x:c r="C1" s="1"/>
      <x:c r="D1" s="1"/>
    </x:row>
    <x:row r="2" ht="26" customHeight="1">
      <x:c r="A2" s="2" t="str">
        <x:v>013 실무 계산표</x:v>
      </x:c>
      <x:c r="B2" s="1"/>
      <x:c r="C2" s="1"/>
      <x:c r="D2" s="1" t="str">
        <x:v>팔아본 팀장의 실무노트</x:v>
      </x:c>
    </x:row>
    <x:row r="3" ht="26" customHeight="1">
      <x:c r="A3" s="1"/>
      <x:c r="B3" s="1"/>
      <x:c r="C3" s="1"/>
      <x:c r="D3" s="1"/>
    </x:row>
    <x:row r="4" ht="26" customHeight="1">
      <x:c r="A4" s="4" t="str">
        <x:v>계산 결과</x:v>
      </x:c>
      <x:c r="B4" s="4" t="str">
        <x:v>값</x:v>
      </x:c>
      <x:c r="C4" s="1"/>
      <x:c r="D4" s="1" t="str">
        <x:v>사용 방법</x:v>
      </x:c>
    </x:row>
    <x:row r="5" ht="26" customHeight="1">
      <x:c r="A5" s="1" t="str">
        <x:v>회수 평균 CPC (원)</x:v>
      </x:c>
      <x:c r="B5" s="8" t="n">
        <x:f>IFERROR(IF(AND(COUNT(B14:B16)=3,MIN(B14:B16)&gt;=0,B15&lt;=100,B14&gt;0,B16&lt;=B14),B14*B15/100,"입력 확인"),"입력 확인")</x:f>
        <x:v>194</x:v>
      </x:c>
      <x:c r="C5" s="1"/>
      <x:c r="D5" s="1" t="str">
        <x:v>시트 번호는 글 번호와 같습니다.</x:v>
      </x:c>
    </x:row>
    <x:row r="6" ht="26" customHeight="1">
      <x:c r="A6" s="1" t="str">
        <x:v>목표 평균 CPC (원)</x:v>
      </x:c>
      <x:c r="B6" s="8" t="n">
        <x:f>IFERROR(IF(AND(COUNT(B14:B16)=3,MIN(B14:B16)&gt;=0,B15&lt;=100,B14&gt;0,B16&lt;=B14),(B14-B16)*B15/100,"입력 확인"),"입력 확인")</x:f>
        <x:v>134</x:v>
      </x:c>
      <x:c r="C6" s="1"/>
      <x:c r="D6" s="1" t="str">
        <x:v>입력은 예시값입니다. 내 숫자로 바꾸세요.</x:v>
      </x:c>
    </x:row>
    <x:row r="7" ht="26" customHeight="1">
      <x:c r="A7" s="1"/>
      <x:c r="B7" s="1"/>
      <x:c r="C7" s="1"/>
      <x:c r="D7" s="1" t="str">
        <x:v>비율은 6%라면 6을 입력합니다.</x:v>
      </x:c>
    </x:row>
    <x:row r="8" ht="26" customHeight="1">
      <x:c r="A8" s="1"/>
      <x:c r="B8" s="1"/>
      <x:c r="C8" s="1"/>
      <x:c r="D8" s="1" t="str">
        <x:v>현재 웹 입력값이 아닌 독립 엑셀 양식입니다.</x:v>
      </x:c>
    </x:row>
    <x:row r="9" ht="26" customHeight="1">
      <x:c r="A9" s="1"/>
      <x:c r="B9" s="1"/>
      <x:c r="C9" s="1"/>
      <x:c r="D9" s="1"/>
    </x:row>
    <x:row r="10" ht="26" customHeight="1">
      <x:c r="A10" s="1"/>
      <x:c r="B10" s="1"/>
      <x:c r="C10" s="1"/>
      <x:c r="D10" s="1"/>
    </x:row>
    <x:row r="11" ht="26" customHeight="1">
      <x:c r="A11" s="1"/>
      <x:c r="B11" s="1"/>
      <x:c r="C11" s="1"/>
      <x:c r="D11" s="1" t="str">
        <x:v>회수 CPC = 주문 기여금×전환율. 목표</x:v>
      </x:c>
    </x:row>
    <x:row r="12" ht="26" customHeight="1">
      <x:c r="A12" s="1"/>
      <x:c r="B12" s="1"/>
      <x:c r="C12" s="1"/>
      <x:c r="D12" s="1" t="str">
        <x:v>CPC = (주문 기여금−목표</x:v>
      </x:c>
    </x:row>
    <x:row r="13" ht="26" customHeight="1">
      <x:c r="A13" s="4" t="str">
        <x:v>입력 항목</x:v>
      </x:c>
      <x:c r="B13" s="4" t="str">
        <x:v>노란 칸을 수정하세요</x:v>
      </x:c>
      <x:c r="C13" s="1"/>
      <x:c r="D13" s="1" t="str">
        <x:v>기여금)×전환율. 평균 클릭 비용</x:v>
      </x:c>
    </x:row>
    <x:row r="14" ht="26" customHeight="1">
      <x:c r="A14" s="1" t="str">
        <x:v>광고 전 주문 기여금 (원)</x:v>
      </x:c>
      <x:c r="B14" s="6" t="n">
        <x:v>9700</x:v>
      </x:c>
      <x:c r="C14" s="1"/>
      <x:c r="D14" s="1" t="str">
        <x:v>비교용이며 자동 입찰 설정값을 추천하지</x:v>
      </x:c>
    </x:row>
    <x:row r="15" ht="26" customHeight="1">
      <x:c r="A15" s="1" t="str">
        <x:v>클릭 기준 구매 전환율 (%)</x:v>
      </x:c>
      <x:c r="B15" s="6" t="n">
        <x:v>2</x:v>
      </x:c>
      <x:c r="C15" s="1"/>
      <x:c r="D15" s="1" t="str">
        <x:v>않습니다.</x:v>
      </x:c>
    </x:row>
    <x:row r="16" ht="26" customHeight="1">
      <x:c r="A16" s="1" t="str">
        <x:v>광고 후 목표 기여금 (원)</x:v>
      </x:c>
      <x:c r="B16" s="6" t="n">
        <x:v>3000</x:v>
      </x:c>
      <x:c r="C16" s="1"/>
      <x:c r="D16" s="1"/>
    </x:row>
    <x:row r="17" ht="26" customHeight="1">
      <x:c r="A17" s="1"/>
      <x:c r="B17" s="1"/>
      <x:c r="C17" s="1"/>
      <x:c r="D17" s="1"/>
    </x:row>
    <x:row r="18" ht="26" customHeight="1">
      <x:c r="A18" s="1"/>
      <x:c r="B18" s="1"/>
      <x:c r="C18" s="1"/>
      <x:c r="D18" s="1"/>
    </x:row>
    <x:row r="19" ht="26" customHeight="1">
      <x:c r="A19" s="1"/>
      <x:c r="B19" s="1"/>
      <x:c r="C19" s="1"/>
      <x:c r="D19" s="1"/>
    </x:row>
    <x:row r="20" ht="26" customHeight="1">
      <x:c r="A20" s="1"/>
      <x:c r="B20" s="1"/>
      <x:c r="C20" s="1"/>
      <x:c r="D20" s="1" t="str">
        <x:v>입력 확인: 빈칸·범위·양수 조건을 확인하세요.</x:v>
      </x:c>
    </x:row>
    <x:row r="21" ht="26" customHeight="1">
      <x:c r="A21" s="1"/>
      <x:c r="B21" s="1"/>
      <x:c r="C21" s="1"/>
      <x:c r="D21" s="1"/>
    </x:row>
    <x:row r="22" ht="26" customHeight="1">
      <x:c r="A22" s="1"/>
      <x:c r="B22" s="1"/>
      <x:c r="C22" s="1"/>
      <x:c r="D22" s="1"/>
    </x:row>
    <x:row r="23" ht="26" customHeight="1">
      <x:c r="A23" s="1"/>
      <x:c r="B23" s="1"/>
      <x:c r="C23" s="1"/>
      <x:c r="D23" s="1"/>
    </x:row>
    <x:row r="24" ht="26" customHeight="1">
      <x:c r="A24" s="1"/>
      <x:c r="B24" s="1"/>
      <x:c r="C24" s="1"/>
      <x:c r="D24" s="1"/>
    </x:row>
    <x:row r="25" ht="26" customHeight="1">
      <x:c r="A25" s="1"/>
      <x:c r="B25" s="1"/>
      <x:c r="C25" s="1"/>
      <x:c r="D25" s="1"/>
    </x:row>
    <x:row r="26" ht="26" customHeight="1">
      <x:c r="A26" s="1"/>
      <x:c r="B26" s="1"/>
      <x:c r="C26" s="1"/>
      <x:c r="D26" s="1"/>
    </x:row>
    <x:row r="27" ht="26" customHeight="1">
      <x:c r="A27" s="1"/>
      <x:c r="B27" s="1"/>
      <x:c r="C27" s="1"/>
      <x:c r="D27" s="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  <x:col min="3" max="3" width="4" hidden="0" customWidth="1"/>
    <x:col min="4" max="4" width="50" hidden="0" customWidth="1"/>
  </x:cols>
  <x:sheetData>
    <x:row r="1" ht="26" customHeight="1">
      <x:c r="A1" s="1"/>
      <x:c r="B1" s="1"/>
      <x:c r="C1" s="1"/>
      <x:c r="D1" s="1"/>
    </x:row>
    <x:row r="2" ht="26" customHeight="1">
      <x:c r="A2" s="2" t="str">
        <x:v>015 실무 계산표</x:v>
      </x:c>
      <x:c r="B2" s="1"/>
      <x:c r="C2" s="1"/>
      <x:c r="D2" s="1" t="str">
        <x:v>팔아본 팀장의 실무노트</x:v>
      </x:c>
    </x:row>
    <x:row r="3" ht="26" customHeight="1">
      <x:c r="A3" s="1"/>
      <x:c r="B3" s="1"/>
      <x:c r="C3" s="1"/>
      <x:c r="D3" s="1"/>
    </x:row>
    <x:row r="4" ht="26" customHeight="1">
      <x:c r="A4" s="4" t="str">
        <x:v>계산 결과</x:v>
      </x:c>
      <x:c r="B4" s="4" t="str">
        <x:v>값</x:v>
      </x:c>
      <x:c r="C4" s="1"/>
      <x:c r="D4" s="1" t="str">
        <x:v>사용 방법</x:v>
      </x:c>
    </x:row>
    <x:row r="5" ht="26" customHeight="1">
      <x:c r="A5" s="1" t="str">
        <x:v>하루 평균 판매량 (개)</x:v>
      </x:c>
      <x:c r="B5" s="7" t="n">
        <x:f>IFERROR(IF(AND(COUNT(B14:B16)=3,MIN(B14:B16)&gt;=0,MOD(B14,1)=0,MOD(B15,1)=0,MOD(B16,1)=0,B15&gt;0,B16&gt;0),B15/B16,"입력 확인"),"입력 확인")</x:f>
        <x:v>6</x:v>
      </x:c>
      <x:c r="C5" s="1"/>
      <x:c r="D5" s="1" t="str">
        <x:v>시트 번호는 글 번호와 같습니다.</x:v>
      </x:c>
    </x:row>
    <x:row r="6" ht="26" customHeight="1">
      <x:c r="A6" s="1" t="str">
        <x:v>남은 소진 기간 (일)</x:v>
      </x:c>
      <x:c r="B6" s="7" t="n">
        <x:f>IFERROR(IF(AND(COUNT(B14:B16)=3,MIN(B14:B16)&gt;=0,MOD(B14,1)=0,MOD(B15,1)=0,MOD(B16,1)=0,B15&gt;0,B16&gt;0),B14/B5,"입력 확인"),"입력 확인")</x:f>
        <x:v>20</x:v>
      </x:c>
      <x:c r="C6" s="1"/>
      <x:c r="D6" s="1" t="str">
        <x:v>입력은 예시값입니다. 내 숫자로 바꾸세요.</x:v>
      </x:c>
    </x:row>
    <x:row r="7" ht="26" customHeight="1">
      <x:c r="A7" s="1"/>
      <x:c r="B7" s="1"/>
      <x:c r="C7" s="1"/>
      <x:c r="D7" s="1" t="str">
        <x:v>비율은 6%라면 6을 입력합니다.</x:v>
      </x:c>
    </x:row>
    <x:row r="8" ht="26" customHeight="1">
      <x:c r="A8" s="1"/>
      <x:c r="B8" s="1"/>
      <x:c r="C8" s="1"/>
      <x:c r="D8" s="1" t="str">
        <x:v>현재 웹 입력값이 아닌 독립 엑셀 양식입니다.</x:v>
      </x:c>
    </x:row>
    <x:row r="9" ht="26" customHeight="1">
      <x:c r="A9" s="1"/>
      <x:c r="B9" s="1"/>
      <x:c r="C9" s="1"/>
      <x:c r="D9" s="1"/>
    </x:row>
    <x:row r="10" ht="26" customHeight="1">
      <x:c r="A10" s="1"/>
      <x:c r="B10" s="1"/>
      <x:c r="C10" s="1"/>
      <x:c r="D10" s="1"/>
    </x:row>
    <x:row r="11" ht="26" customHeight="1">
      <x:c r="A11" s="1"/>
      <x:c r="B11" s="1"/>
      <x:c r="C11" s="1"/>
      <x:c r="D11" s="1" t="str">
        <x:v>일평균 판매 = 기간 판매량÷기간 일수.</x:v>
      </x:c>
    </x:row>
    <x:row r="12" ht="26" customHeight="1">
      <x:c r="A12" s="1"/>
      <x:c r="B12" s="1"/>
      <x:c r="C12" s="1"/>
      <x:c r="D12" s="1" t="str">
        <x:v>남은 일수 = 현재 가용재고÷일평균 판매.</x:v>
      </x:c>
    </x:row>
    <x:row r="13" ht="26" customHeight="1">
      <x:c r="A13" s="4" t="str">
        <x:v>입력 항목</x:v>
      </x:c>
      <x:c r="B13" s="4" t="str">
        <x:v>노란 칸을 수정하세요</x:v>
      </x:c>
      <x:c r="C13" s="1"/>
      <x:c r="D13" s="1" t="str">
        <x:v>입고 없음·같은 판매 속도 유지 가정이며</x:v>
      </x:c>
    </x:row>
    <x:row r="14" ht="26" customHeight="1">
      <x:c r="A14" s="1" t="str">
        <x:v>현재 판매 가능 재고 (개)</x:v>
      </x:c>
      <x:c r="B14" s="6" t="n">
        <x:v>120</x:v>
      </x:c>
      <x:c r="C14" s="1"/>
      <x:c r="D14" s="1" t="str">
        <x:v>품절일은 자동 보정하지 않습니다.</x:v>
      </x:c>
    </x:row>
    <x:row r="15" ht="26" customHeight="1">
      <x:c r="A15" s="1" t="str">
        <x:v>기간 내 판매 수량 (개)</x:v>
      </x:c>
      <x:c r="B15" s="6" t="n">
        <x:v>180</x:v>
      </x:c>
      <x:c r="C15" s="1"/>
      <x:c r="D15" s="1"/>
    </x:row>
    <x:row r="16" ht="26" customHeight="1">
      <x:c r="A16" s="1" t="str">
        <x:v>판매 기간 (일)</x:v>
      </x:c>
      <x:c r="B16" s="6" t="n">
        <x:v>30</x:v>
      </x:c>
      <x:c r="C16" s="1"/>
      <x:c r="D16" s="1"/>
    </x:row>
    <x:row r="17" ht="26" customHeight="1">
      <x:c r="A17" s="1"/>
      <x:c r="B17" s="1"/>
      <x:c r="C17" s="1"/>
      <x:c r="D17" s="1"/>
    </x:row>
    <x:row r="18" ht="26" customHeight="1">
      <x:c r="A18" s="1"/>
      <x:c r="B18" s="1"/>
      <x:c r="C18" s="1"/>
      <x:c r="D18" s="1"/>
    </x:row>
    <x:row r="19" ht="26" customHeight="1">
      <x:c r="A19" s="1"/>
      <x:c r="B19" s="1"/>
      <x:c r="C19" s="1"/>
      <x:c r="D19" s="1"/>
    </x:row>
    <x:row r="20" ht="26" customHeight="1">
      <x:c r="A20" s="1"/>
      <x:c r="B20" s="1"/>
      <x:c r="C20" s="1"/>
      <x:c r="D20" s="1" t="str">
        <x:v>입력 확인: 빈칸·범위·양수 조건을 확인하세요.</x:v>
      </x:c>
    </x:row>
    <x:row r="21" ht="26" customHeight="1">
      <x:c r="A21" s="1"/>
      <x:c r="B21" s="1"/>
      <x:c r="C21" s="1"/>
      <x:c r="D21" s="1"/>
    </x:row>
    <x:row r="22" ht="26" customHeight="1">
      <x:c r="A22" s="1"/>
      <x:c r="B22" s="1"/>
      <x:c r="C22" s="1"/>
      <x:c r="D22" s="1"/>
    </x:row>
    <x:row r="23" ht="26" customHeight="1">
      <x:c r="A23" s="1"/>
      <x:c r="B23" s="1"/>
      <x:c r="C23" s="1"/>
      <x:c r="D23" s="1"/>
    </x:row>
    <x:row r="24" ht="26" customHeight="1">
      <x:c r="A24" s="1"/>
      <x:c r="B24" s="1"/>
      <x:c r="C24" s="1"/>
      <x:c r="D24" s="1"/>
    </x:row>
    <x:row r="25" ht="26" customHeight="1">
      <x:c r="A25" s="1"/>
      <x:c r="B25" s="1"/>
      <x:c r="C25" s="1"/>
      <x:c r="D25" s="1"/>
    </x:row>
    <x:row r="26" ht="26" customHeight="1">
      <x:c r="A26" s="1"/>
      <x:c r="B26" s="1"/>
      <x:c r="C26" s="1"/>
      <x:c r="D26" s="1"/>
    </x:row>
    <x:row r="27" ht="26" customHeight="1">
      <x:c r="A27" s="1"/>
      <x:c r="B27" s="1"/>
      <x:c r="C27" s="1"/>
      <x:c r="D27" s="1"/>
    </x:row>
  </x:sheetData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  <x:col min="3" max="3" width="4" hidden="0" customWidth="1"/>
    <x:col min="4" max="4" width="50" hidden="0" customWidth="1"/>
  </x:cols>
  <x:sheetData>
    <x:row r="1" ht="26" customHeight="1">
      <x:c r="A1" s="1"/>
      <x:c r="B1" s="1"/>
      <x:c r="C1" s="1"/>
      <x:c r="D1" s="1"/>
    </x:row>
    <x:row r="2" ht="26" customHeight="1">
      <x:c r="A2" s="2" t="str">
        <x:v>016 실무 계산표</x:v>
      </x:c>
      <x:c r="B2" s="1"/>
      <x:c r="C2" s="1"/>
      <x:c r="D2" s="1" t="str">
        <x:v>팔아본 팀장의 실무노트</x:v>
      </x:c>
    </x:row>
    <x:row r="3" ht="26" customHeight="1">
      <x:c r="A3" s="1"/>
      <x:c r="B3" s="1"/>
      <x:c r="C3" s="1"/>
      <x:c r="D3" s="1"/>
    </x:row>
    <x:row r="4" ht="26" customHeight="1">
      <x:c r="A4" s="4" t="str">
        <x:v>계산 결과</x:v>
      </x:c>
      <x:c r="B4" s="4" t="str">
        <x:v>값</x:v>
      </x:c>
      <x:c r="C4" s="1"/>
      <x:c r="D4" s="1" t="str">
        <x:v>사용 방법</x:v>
      </x:c>
    </x:row>
    <x:row r="5" ht="26" customHeight="1">
      <x:c r="A5" s="1" t="str">
        <x:v>조달 기간 예상 판매 (개)</x:v>
      </x:c>
      <x:c r="B5" s="7" t="n">
        <x:f>IFERROR(IF(AND(COUNT(B14:B16)=3,MIN(B14:B16)&gt;=0,MOD(B15,1)=0,MOD(B16,1)=0,B14&gt;0,B15&gt;0),B14*B15,"입력 확인"),"입력 확인")</x:f>
        <x:v>60</x:v>
      </x:c>
      <x:c r="C5" s="1"/>
      <x:c r="D5" s="1" t="str">
        <x:v>시트 번호는 글 번호와 같습니다.</x:v>
      </x:c>
    </x:row>
    <x:row r="6" ht="26" customHeight="1">
      <x:c r="A6" s="1" t="str">
        <x:v>단순 발주점 (개)</x:v>
      </x:c>
      <x:c r="B6" s="7" t="n">
        <x:f>IFERROR(IF(AND(COUNT(B14:B16)=3,MIN(B14:B16)&gt;=0,MOD(B15,1)=0,MOD(B16,1)=0,B14&gt;0,B15&gt;0),ROUNDUP(ROUND(B5+B16,8),0),"입력 확인"),"입력 확인")</x:f>
        <x:v>90</x:v>
      </x:c>
      <x:c r="C6" s="1"/>
      <x:c r="D6" s="1" t="str">
        <x:v>입력은 예시값입니다. 내 숫자로 바꾸세요.</x:v>
      </x:c>
    </x:row>
    <x:row r="7" ht="26" customHeight="1">
      <x:c r="A7" s="1"/>
      <x:c r="B7" s="1"/>
      <x:c r="C7" s="1"/>
      <x:c r="D7" s="1" t="str">
        <x:v>비율은 6%라면 6을 입력합니다.</x:v>
      </x:c>
    </x:row>
    <x:row r="8" ht="26" customHeight="1">
      <x:c r="A8" s="1"/>
      <x:c r="B8" s="1"/>
      <x:c r="C8" s="1"/>
      <x:c r="D8" s="1" t="str">
        <x:v>현재 웹 입력값이 아닌 독립 엑셀 양식입니다.</x:v>
      </x:c>
    </x:row>
    <x:row r="9" ht="26" customHeight="1">
      <x:c r="A9" s="1"/>
      <x:c r="B9" s="1"/>
      <x:c r="C9" s="1"/>
      <x:c r="D9" s="1"/>
    </x:row>
    <x:row r="10" ht="26" customHeight="1">
      <x:c r="A10" s="1"/>
      <x:c r="B10" s="1"/>
      <x:c r="C10" s="1"/>
      <x:c r="D10" s="1"/>
    </x:row>
    <x:row r="11" ht="26" customHeight="1">
      <x:c r="A11" s="1"/>
      <x:c r="B11" s="1"/>
      <x:c r="C11" s="1"/>
      <x:c r="D11" s="1" t="str">
        <x:v>발주점 = 평균 일 판매량×조달 일수+여유</x:v>
      </x:c>
    </x:row>
    <x:row r="12" ht="26" customHeight="1">
      <x:c r="A12" s="1"/>
      <x:c r="B12" s="1"/>
      <x:c r="C12" s="1"/>
      <x:c r="D12" s="1" t="str">
        <x:v>재고. 개 단위 올림. 여유 재고는</x:v>
      </x:c>
    </x:row>
    <x:row r="13" ht="26" customHeight="1">
      <x:c r="A13" s="4" t="str">
        <x:v>입력 항목</x:v>
      </x:c>
      <x:c r="B13" s="4" t="str">
        <x:v>노란 칸을 수정하세요</x:v>
      </x:c>
      <x:c r="C13" s="1"/>
      <x:c r="D13" s="1" t="str">
        <x:v>사용자가 정한 가정이며 예정 입고</x:v>
      </x:c>
    </x:row>
    <x:row r="14" ht="26" customHeight="1">
      <x:c r="A14" s="1" t="str">
        <x:v>평균 일 판매량 (개)</x:v>
      </x:c>
      <x:c r="B14" s="6" t="n">
        <x:v>6</x:v>
      </x:c>
      <x:c r="C14" s="1"/>
      <x:c r="D14" s="1" t="str">
        <x:v>날짜·수량은 별도 확인해야 합니다.</x:v>
      </x:c>
    </x:row>
    <x:row r="15" ht="26" customHeight="1">
      <x:c r="A15" s="1" t="str">
        <x:v>판매 가능 입고까지 (일)</x:v>
      </x:c>
      <x:c r="B15" s="6" t="n">
        <x:v>10</x:v>
      </x:c>
      <x:c r="C15" s="1"/>
      <x:c r="D15" s="1"/>
    </x:row>
    <x:row r="16" ht="26" customHeight="1">
      <x:c r="A16" s="1" t="str">
        <x:v>여유 재고 (개)</x:v>
      </x:c>
      <x:c r="B16" s="6" t="n">
        <x:v>30</x:v>
      </x:c>
      <x:c r="C16" s="1"/>
      <x:c r="D16" s="1"/>
    </x:row>
    <x:row r="17" ht="26" customHeight="1">
      <x:c r="A17" s="1"/>
      <x:c r="B17" s="1"/>
      <x:c r="C17" s="1"/>
      <x:c r="D17" s="1"/>
    </x:row>
    <x:row r="18" ht="26" customHeight="1">
      <x:c r="A18" s="1"/>
      <x:c r="B18" s="1"/>
      <x:c r="C18" s="1"/>
      <x:c r="D18" s="1"/>
    </x:row>
    <x:row r="19" ht="26" customHeight="1">
      <x:c r="A19" s="1"/>
      <x:c r="B19" s="1"/>
      <x:c r="C19" s="1"/>
      <x:c r="D19" s="1"/>
    </x:row>
    <x:row r="20" ht="26" customHeight="1">
      <x:c r="A20" s="1"/>
      <x:c r="B20" s="1"/>
      <x:c r="C20" s="1"/>
      <x:c r="D20" s="1" t="str">
        <x:v>입력 확인: 빈칸·범위·양수 조건을 확인하세요.</x:v>
      </x:c>
    </x:row>
    <x:row r="21" ht="26" customHeight="1">
      <x:c r="A21" s="1"/>
      <x:c r="B21" s="1"/>
      <x:c r="C21" s="1"/>
      <x:c r="D21" s="1"/>
    </x:row>
    <x:row r="22" ht="26" customHeight="1">
      <x:c r="A22" s="1"/>
      <x:c r="B22" s="1"/>
      <x:c r="C22" s="1"/>
      <x:c r="D22" s="1"/>
    </x:row>
    <x:row r="23" ht="26" customHeight="1">
      <x:c r="A23" s="1"/>
      <x:c r="B23" s="1"/>
      <x:c r="C23" s="1"/>
      <x:c r="D23" s="1"/>
    </x:row>
    <x:row r="24" ht="26" customHeight="1">
      <x:c r="A24" s="1"/>
      <x:c r="B24" s="1"/>
      <x:c r="C24" s="1"/>
      <x:c r="D24" s="1"/>
    </x:row>
    <x:row r="25" ht="26" customHeight="1">
      <x:c r="A25" s="1"/>
      <x:c r="B25" s="1"/>
      <x:c r="C25" s="1"/>
      <x:c r="D25" s="1"/>
    </x:row>
    <x:row r="26" ht="26" customHeight="1">
      <x:c r="A26" s="1"/>
      <x:c r="B26" s="1"/>
      <x:c r="C26" s="1"/>
      <x:c r="D26" s="1"/>
    </x:row>
    <x:row r="27" ht="26" customHeight="1">
      <x:c r="A27" s="1"/>
      <x:c r="B27" s="1"/>
      <x:c r="C27" s="1"/>
      <x:c r="D27" s="1"/>
    </x:row>
  </x:sheetData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  <x:col min="3" max="3" width="4" hidden="0" customWidth="1"/>
    <x:col min="4" max="4" width="50" hidden="0" customWidth="1"/>
  </x:cols>
  <x:sheetData>
    <x:row r="1" ht="26" customHeight="1">
      <x:c r="A1" s="1"/>
      <x:c r="B1" s="1"/>
      <x:c r="C1" s="1"/>
      <x:c r="D1" s="1"/>
    </x:row>
    <x:row r="2" ht="26" customHeight="1">
      <x:c r="A2" s="2" t="str">
        <x:v>017 실무 계산표</x:v>
      </x:c>
      <x:c r="B2" s="1"/>
      <x:c r="C2" s="1"/>
      <x:c r="D2" s="1" t="str">
        <x:v>팔아본 팀장의 실무노트</x:v>
      </x:c>
    </x:row>
    <x:row r="3" ht="26" customHeight="1">
      <x:c r="A3" s="1"/>
      <x:c r="B3" s="1"/>
      <x:c r="C3" s="1"/>
      <x:c r="D3" s="1"/>
    </x:row>
    <x:row r="4" ht="26" customHeight="1">
      <x:c r="A4" s="4" t="str">
        <x:v>계산 결과</x:v>
      </x:c>
      <x:c r="B4" s="4" t="str">
        <x:v>값</x:v>
      </x:c>
      <x:c r="C4" s="1"/>
      <x:c r="D4" s="1" t="str">
        <x:v>사용 방법</x:v>
      </x:c>
    </x:row>
    <x:row r="5" ht="26" customHeight="1">
      <x:c r="A5" s="1" t="str">
        <x:v>지금 순회수액 (원)</x:v>
      </x:c>
      <x:c r="B5" s="8" t="n">
        <x:f>IFERROR(IF(AND(COUNT(B14:B16)=3,MIN(B14:B16)&gt;=0),B14,"입력 확인"),"입력 확인")</x:f>
        <x:v>800000</x:v>
      </x:c>
      <x:c r="C5" s="1"/>
      <x:c r="D5" s="1" t="str">
        <x:v>시트 번호는 글 번호와 같습니다.</x:v>
      </x:c>
    </x:row>
    <x:row r="6" ht="26" customHeight="1">
      <x:c r="A6" s="1" t="str">
        <x:v>기다림 비용 차감 후 (원)</x:v>
      </x:c>
      <x:c r="B6" s="8" t="n">
        <x:f>IFERROR(IF(AND(COUNT(B14:B16)=3,MIN(B14:B16)&gt;=0),B15-B16,"입력 확인"),"입력 확인")</x:f>
        <x:v>900000</x:v>
      </x:c>
      <x:c r="C6" s="1"/>
      <x:c r="D6" s="1" t="str">
        <x:v>입력은 예시값입니다. 내 숫자로 바꾸세요.</x:v>
      </x:c>
    </x:row>
    <x:row r="7" ht="26" customHeight="1">
      <x:c r="A7" s="1" t="str">
        <x:v>기다림의 차이 (원)</x:v>
      </x:c>
      <x:c r="B7" s="8" t="n">
        <x:f>IFERROR(IF(AND(COUNT(B14:B16)=3,MIN(B14:B16)&gt;=0),B6-B5,"입력 확인"),"입력 확인")</x:f>
        <x:v>100000</x:v>
      </x:c>
      <x:c r="C7" s="1"/>
      <x:c r="D7" s="1" t="str">
        <x:v>비율은 6%라면 6을 입력합니다.</x:v>
      </x:c>
    </x:row>
    <x:row r="8" ht="26" customHeight="1">
      <x:c r="A8" s="1"/>
      <x:c r="B8" s="1"/>
      <x:c r="C8" s="1"/>
      <x:c r="D8" s="1" t="str">
        <x:v>현재 웹 입력값이 아닌 독립 엑셀 양식입니다.</x:v>
      </x:c>
    </x:row>
    <x:row r="9" ht="26" customHeight="1">
      <x:c r="A9" s="1"/>
      <x:c r="B9" s="1"/>
      <x:c r="C9" s="1"/>
      <x:c r="D9" s="1"/>
    </x:row>
    <x:row r="10" ht="26" customHeight="1">
      <x:c r="A10" s="1"/>
      <x:c r="B10" s="1"/>
      <x:c r="C10" s="1"/>
      <x:c r="D10" s="1"/>
    </x:row>
    <x:row r="11" ht="26" customHeight="1">
      <x:c r="A11" s="1"/>
      <x:c r="B11" s="1"/>
      <x:c r="C11" s="1"/>
      <x:c r="D11" s="1" t="str">
        <x:v>기다림 비교값 = 예상 순회수액−추가</x:v>
      </x:c>
    </x:row>
    <x:row r="12" ht="26" customHeight="1">
      <x:c r="A12" s="1"/>
      <x:c r="B12" s="1"/>
      <x:c r="C12" s="1"/>
      <x:c r="D12" s="1" t="str">
        <x:v>비용. 차이 = 기다림 비교값−즉시</x:v>
      </x:c>
    </x:row>
    <x:row r="13" ht="26" customHeight="1">
      <x:c r="A13" s="4" t="str">
        <x:v>입력 항목</x:v>
      </x:c>
      <x:c r="B13" s="4" t="str">
        <x:v>노란 칸을 수정하세요</x:v>
      </x:c>
      <x:c r="C13" s="1"/>
      <x:c r="D13" s="1" t="str">
        <x:v>순회수액. 과거 공통 매입액은 제외하며</x:v>
      </x:c>
    </x:row>
    <x:row r="14" ht="26" customHeight="1">
      <x:c r="A14" s="1" t="str">
        <x:v>지금 판매 순회수액 (원)</x:v>
      </x:c>
      <x:c r="B14" s="6" t="n">
        <x:v>800000</x:v>
      </x:c>
      <x:c r="C14" s="1"/>
      <x:c r="D14" s="1" t="str">
        <x:v>전체 이익을 뜻하지 않습니다.</x:v>
      </x:c>
    </x:row>
    <x:row r="15" ht="26" customHeight="1">
      <x:c r="A15" s="1" t="str">
        <x:v>기다린 뒤 예상 순회수액 (원)</x:v>
      </x:c>
      <x:c r="B15" s="6" t="n">
        <x:v>1100000</x:v>
      </x:c>
      <x:c r="C15" s="1"/>
      <x:c r="D15" s="1"/>
    </x:row>
    <x:row r="16" ht="26" customHeight="1">
      <x:c r="A16" s="1" t="str">
        <x:v>추가 보관·처리비 (원)</x:v>
      </x:c>
      <x:c r="B16" s="6" t="n">
        <x:v>200000</x:v>
      </x:c>
      <x:c r="C16" s="1"/>
      <x:c r="D16" s="1"/>
    </x:row>
    <x:row r="17" ht="26" customHeight="1">
      <x:c r="A17" s="1"/>
      <x:c r="B17" s="1"/>
      <x:c r="C17" s="1"/>
      <x:c r="D17" s="1"/>
    </x:row>
    <x:row r="18" ht="26" customHeight="1">
      <x:c r="A18" s="1"/>
      <x:c r="B18" s="1"/>
      <x:c r="C18" s="1"/>
      <x:c r="D18" s="1"/>
    </x:row>
    <x:row r="19" ht="26" customHeight="1">
      <x:c r="A19" s="1"/>
      <x:c r="B19" s="1"/>
      <x:c r="C19" s="1"/>
      <x:c r="D19" s="1"/>
    </x:row>
    <x:row r="20" ht="26" customHeight="1">
      <x:c r="A20" s="1"/>
      <x:c r="B20" s="1"/>
      <x:c r="C20" s="1"/>
      <x:c r="D20" s="1" t="str">
        <x:v>입력 확인: 빈칸·범위·양수 조건을 확인하세요.</x:v>
      </x:c>
    </x:row>
    <x:row r="21" ht="26" customHeight="1">
      <x:c r="A21" s="1"/>
      <x:c r="B21" s="1"/>
      <x:c r="C21" s="1"/>
      <x:c r="D21" s="1"/>
    </x:row>
    <x:row r="22" ht="26" customHeight="1">
      <x:c r="A22" s="1"/>
      <x:c r="B22" s="1"/>
      <x:c r="C22" s="1"/>
      <x:c r="D22" s="1"/>
    </x:row>
    <x:row r="23" ht="26" customHeight="1">
      <x:c r="A23" s="1"/>
      <x:c r="B23" s="1"/>
      <x:c r="C23" s="1"/>
      <x:c r="D23" s="1"/>
    </x:row>
    <x:row r="24" ht="26" customHeight="1">
      <x:c r="A24" s="1"/>
      <x:c r="B24" s="1"/>
      <x:c r="C24" s="1"/>
      <x:c r="D24" s="1"/>
    </x:row>
    <x:row r="25" ht="26" customHeight="1">
      <x:c r="A25" s="1"/>
      <x:c r="B25" s="1"/>
      <x:c r="C25" s="1"/>
      <x:c r="D25" s="1"/>
    </x:row>
    <x:row r="26" ht="26" customHeight="1">
      <x:c r="A26" s="1"/>
      <x:c r="B26" s="1"/>
      <x:c r="C26" s="1"/>
      <x:c r="D26" s="1"/>
    </x:row>
    <x:row r="27" ht="26" customHeight="1">
      <x:c r="A27" s="1"/>
      <x:c r="B27" s="1"/>
      <x:c r="C27" s="1"/>
      <x:c r="D27" s="1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  <x:col min="3" max="3" width="4" hidden="0" customWidth="1"/>
    <x:col min="4" max="4" width="50" hidden="0" customWidth="1"/>
  </x:cols>
  <x:sheetData>
    <x:row r="1" ht="26" customHeight="1">
      <x:c r="A1" s="1"/>
      <x:c r="B1" s="1"/>
      <x:c r="C1" s="1"/>
      <x:c r="D1" s="1"/>
    </x:row>
    <x:row r="2" ht="26" customHeight="1">
      <x:c r="A2" s="2" t="str">
        <x:v>018 실무 계산표</x:v>
      </x:c>
      <x:c r="B2" s="1"/>
      <x:c r="C2" s="1"/>
      <x:c r="D2" s="1" t="str">
        <x:v>팔아본 팀장의 실무노트</x:v>
      </x:c>
    </x:row>
    <x:row r="3" ht="26" customHeight="1">
      <x:c r="A3" s="1"/>
      <x:c r="B3" s="1"/>
      <x:c r="C3" s="1"/>
      <x:c r="D3" s="1"/>
    </x:row>
    <x:row r="4" ht="26" customHeight="1">
      <x:c r="A4" s="4" t="str">
        <x:v>계산 결과</x:v>
      </x:c>
      <x:c r="B4" s="4" t="str">
        <x:v>값</x:v>
      </x:c>
      <x:c r="C4" s="1"/>
      <x:c r="D4" s="1" t="str">
        <x:v>사용 방법</x:v>
      </x:c>
    </x:row>
    <x:row r="5" ht="26" customHeight="1">
      <x:c r="A5" s="1" t="str">
        <x:v>상품 A 기여금 (원)</x:v>
      </x:c>
      <x:c r="B5" s="8" t="n">
        <x:f>IFERROR(IF(AND(COUNT(B14:B17)=4,MIN(B14:B17)&gt;=0,B15&lt;=100,B17&lt;=100),B14*B15/100,"입력 확인"),"입력 확인")</x:f>
        <x:v>300000</x:v>
      </x:c>
      <x:c r="C5" s="1"/>
      <x:c r="D5" s="1" t="str">
        <x:v>시트 번호는 글 번호와 같습니다.</x:v>
      </x:c>
    </x:row>
    <x:row r="6" ht="26" customHeight="1">
      <x:c r="A6" s="1" t="str">
        <x:v>상품 B 기여금 (원)</x:v>
      </x:c>
      <x:c r="B6" s="8" t="n">
        <x:f>IFERROR(IF(AND(COUNT(B14:B17)=4,MIN(B14:B17)&gt;=0,B15&lt;=100,B17&lt;=100),B16*B17/100,"입력 확인"),"입력 확인")</x:f>
        <x:v>600000</x:v>
      </x:c>
      <x:c r="C6" s="1"/>
      <x:c r="D6" s="1" t="str">
        <x:v>입력은 예시값입니다. 내 숫자로 바꾸세요.</x:v>
      </x:c>
    </x:row>
    <x:row r="7" ht="26" customHeight="1">
      <x:c r="A7" s="1" t="str">
        <x:v>B−A 차이 (원)</x:v>
      </x:c>
      <x:c r="B7" s="8" t="n">
        <x:f>IFERROR(IF(AND(COUNT(B14:B17)=4,MIN(B14:B17)&gt;=0,B15&lt;=100,B17&lt;=100),B6-B5,"입력 확인"),"입력 확인")</x:f>
        <x:v>300000</x:v>
      </x:c>
      <x:c r="C7" s="1"/>
      <x:c r="D7" s="1" t="str">
        <x:v>비율은 6%라면 6을 입력합니다.</x:v>
      </x:c>
    </x:row>
    <x:row r="8" ht="26" customHeight="1">
      <x:c r="A8" s="1"/>
      <x:c r="B8" s="1"/>
      <x:c r="C8" s="1"/>
      <x:c r="D8" s="1" t="str">
        <x:v>현재 웹 입력값이 아닌 독립 엑셀 양식입니다.</x:v>
      </x:c>
    </x:row>
    <x:row r="9" ht="26" customHeight="1">
      <x:c r="A9" s="1"/>
      <x:c r="B9" s="1"/>
      <x:c r="C9" s="1"/>
      <x:c r="D9" s="1"/>
    </x:row>
    <x:row r="10" ht="26" customHeight="1">
      <x:c r="A10" s="1"/>
      <x:c r="B10" s="1"/>
      <x:c r="C10" s="1"/>
      <x:c r="D10" s="1"/>
    </x:row>
    <x:row r="11" ht="26" customHeight="1">
      <x:c r="A11" s="1"/>
      <x:c r="B11" s="1"/>
      <x:c r="C11" s="1"/>
      <x:c r="D11" s="1" t="str">
        <x:v>기여금 = 매출×기여율. 두 비율은 같은</x:v>
      </x:c>
    </x:row>
    <x:row r="12" ht="26" customHeight="1">
      <x:c r="A12" s="1"/>
      <x:c r="B12" s="1"/>
      <x:c r="C12" s="1"/>
      <x:c r="D12" s="1" t="str">
        <x:v>비용 범위여야 합니다. 광고비·고정비는</x:v>
      </x:c>
    </x:row>
    <x:row r="13" ht="26" customHeight="1">
      <x:c r="A13" s="4" t="str">
        <x:v>입력 항목</x:v>
      </x:c>
      <x:c r="B13" s="4" t="str">
        <x:v>노란 칸을 수정하세요</x:v>
      </x:c>
      <x:c r="C13" s="1"/>
      <x:c r="D13" s="1" t="str">
        <x:v>비율에 이미 포함한 경우에만 반영됩니다.</x:v>
      </x:c>
    </x:row>
    <x:row r="14" ht="26" customHeight="1">
      <x:c r="A14" s="1" t="str">
        <x:v>상품 A 매출 (원)</x:v>
      </x:c>
      <x:c r="B14" s="6" t="n">
        <x:v>3000000</x:v>
      </x:c>
      <x:c r="C14" s="1"/>
      <x:c r="D14" s="1"/>
    </x:row>
    <x:row r="15" ht="26" customHeight="1">
      <x:c r="A15" s="1" t="str">
        <x:v>상품 A 기여율 (%)</x:v>
      </x:c>
      <x:c r="B15" s="6" t="n">
        <x:v>10</x:v>
      </x:c>
      <x:c r="C15" s="1"/>
      <x:c r="D15" s="1"/>
    </x:row>
    <x:row r="16" ht="26" customHeight="1">
      <x:c r="A16" s="1" t="str">
        <x:v>상품 B 매출 (원)</x:v>
      </x:c>
      <x:c r="B16" s="6" t="n">
        <x:v>2000000</x:v>
      </x:c>
      <x:c r="C16" s="1"/>
      <x:c r="D16" s="1"/>
    </x:row>
    <x:row r="17" ht="26" customHeight="1">
      <x:c r="A17" s="1" t="str">
        <x:v>상품 B 기여율 (%)</x:v>
      </x:c>
      <x:c r="B17" s="6" t="n">
        <x:v>30</x:v>
      </x:c>
      <x:c r="C17" s="1"/>
      <x:c r="D17" s="1"/>
    </x:row>
    <x:row r="18" ht="26" customHeight="1">
      <x:c r="A18" s="1"/>
      <x:c r="B18" s="1"/>
      <x:c r="C18" s="1"/>
      <x:c r="D18" s="1"/>
    </x:row>
    <x:row r="19" ht="26" customHeight="1">
      <x:c r="A19" s="1"/>
      <x:c r="B19" s="1"/>
      <x:c r="C19" s="1"/>
      <x:c r="D19" s="1"/>
    </x:row>
    <x:row r="20" ht="26" customHeight="1">
      <x:c r="A20" s="1"/>
      <x:c r="B20" s="1"/>
      <x:c r="C20" s="1"/>
      <x:c r="D20" s="1" t="str">
        <x:v>입력 확인: 빈칸·범위·양수 조건을 확인하세요.</x:v>
      </x:c>
    </x:row>
    <x:row r="21" ht="26" customHeight="1">
      <x:c r="A21" s="1"/>
      <x:c r="B21" s="1"/>
      <x:c r="C21" s="1"/>
      <x:c r="D21" s="1"/>
    </x:row>
    <x:row r="22" ht="26" customHeight="1">
      <x:c r="A22" s="1"/>
      <x:c r="B22" s="1"/>
      <x:c r="C22" s="1"/>
      <x:c r="D22" s="1"/>
    </x:row>
    <x:row r="23" ht="26" customHeight="1">
      <x:c r="A23" s="1"/>
      <x:c r="B23" s="1"/>
      <x:c r="C23" s="1"/>
      <x:c r="D23" s="1"/>
    </x:row>
    <x:row r="24" ht="26" customHeight="1">
      <x:c r="A24" s="1"/>
      <x:c r="B24" s="1"/>
      <x:c r="C24" s="1"/>
      <x:c r="D24" s="1"/>
    </x:row>
    <x:row r="25" ht="26" customHeight="1">
      <x:c r="A25" s="1"/>
      <x:c r="B25" s="1"/>
      <x:c r="C25" s="1"/>
      <x:c r="D25" s="1"/>
    </x:row>
    <x:row r="26" ht="26" customHeight="1">
      <x:c r="A26" s="1"/>
      <x:c r="B26" s="1"/>
      <x:c r="C26" s="1"/>
      <x:c r="D26" s="1"/>
    </x:row>
    <x:row r="27" ht="26" customHeight="1">
      <x:c r="A27" s="1"/>
      <x:c r="B27" s="1"/>
      <x:c r="C27" s="1"/>
      <x:c r="D27" s="1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4" hidden="0" customWidth="1"/>
    <x:col min="2" max="2" width="24" hidden="0" customWidth="1"/>
    <x:col min="3" max="3" width="4" hidden="0" customWidth="1"/>
    <x:col min="4" max="4" width="50" hidden="0" customWidth="1"/>
  </x:cols>
  <x:sheetData>
    <x:row r="1" ht="26" customHeight="1">
      <x:c r="A1" s="1"/>
      <x:c r="B1" s="1"/>
      <x:c r="C1" s="1"/>
      <x:c r="D1" s="1"/>
    </x:row>
    <x:row r="2" ht="26" customHeight="1">
      <x:c r="A2" s="2" t="str">
        <x:v>019 실무 계산표</x:v>
      </x:c>
      <x:c r="B2" s="1"/>
      <x:c r="C2" s="1"/>
      <x:c r="D2" s="1" t="str">
        <x:v>팔아본 팀장의 실무노트</x:v>
      </x:c>
    </x:row>
    <x:row r="3" ht="26" customHeight="1">
      <x:c r="A3" s="1"/>
      <x:c r="B3" s="1"/>
      <x:c r="C3" s="1"/>
      <x:c r="D3" s="1"/>
    </x:row>
    <x:row r="4" ht="26" customHeight="1">
      <x:c r="A4" s="4" t="str">
        <x:v>계산 결과</x:v>
      </x:c>
      <x:c r="B4" s="4" t="str">
        <x:v>값</x:v>
      </x:c>
      <x:c r="C4" s="1"/>
      <x:c r="D4" s="1" t="str">
        <x:v>사용 방법</x:v>
      </x:c>
    </x:row>
    <x:row r="5" ht="26" customHeight="1">
      <x:c r="A5" s="1" t="str">
        <x:v>기존 주문 기여금 (원)</x:v>
      </x:c>
      <x:c r="B5" s="8" t="n">
        <x:f>IFERROR(IF(AND(COUNT(B14:B19)=6,MIN(B14:B19)&gt;=0,B17&lt;=100,MOD(B19,1)=0,B17&lt;100,B19&gt;0,B14*(1-B17/100)-B16-B18&gt;0,B15*(1-B17/100)-B16-B18&gt;0),B14*(1-B17/100)-B16-B18,"입력 확인"),"입력 확인")</x:f>
        <x:v>9700</x:v>
      </x:c>
      <x:c r="C5" s="1"/>
      <x:c r="D5" s="1" t="str">
        <x:v>시트 번호는 글 번호와 같습니다.</x:v>
      </x:c>
    </x:row>
    <x:row r="6" ht="26" customHeight="1">
      <x:c r="A6" s="1" t="str">
        <x:v>새 주문 기여금 (원)</x:v>
      </x:c>
      <x:c r="B6" s="8" t="n">
        <x:f>IFERROR(IF(AND(COUNT(B14:B19)=6,MIN(B14:B19)&gt;=0,B17&lt;=100,MOD(B19,1)=0,B17&lt;100,B19&gt;0,B14*(1-B17/100)-B16-B18&gt;0,B15*(1-B17/100)-B16-B18&gt;0),B15*(1-B17/100)-B16-B18,"입력 확인"),"입력 확인")</x:f>
        <x:v>12520</x:v>
      </x:c>
      <x:c r="C6" s="1"/>
      <x:c r="D6" s="1" t="str">
        <x:v>입력은 예시값입니다. 내 숫자로 바꾸세요.</x:v>
      </x:c>
    </x:row>
    <x:row r="7" ht="26" customHeight="1">
      <x:c r="A7" s="1" t="str">
        <x:v>기존 합계 유지 주문 (건)</x:v>
      </x:c>
      <x:c r="B7" s="7" t="n">
        <x:f>IFERROR(IF(AND(COUNT(B14:B19)=6,MIN(B14:B19)&gt;=0,B17&lt;=100,MOD(B19,1)=0,B17&lt;100,B19&gt;0,B14*(1-B17/100)-B16-B18&gt;0,B15*(1-B17/100)-B16-B18&gt;0),ROUNDUP(ROUND(B5*B19/B6,8),0),"입력 확인"),"입력 확인")</x:f>
        <x:v>78</x:v>
      </x:c>
      <x:c r="C7" s="1"/>
      <x:c r="D7" s="1" t="str">
        <x:v>비율은 6%라면 6을 입력합니다.</x:v>
      </x:c>
    </x:row>
    <x:row r="8" ht="26" customHeight="1">
      <x:c r="A8" s="1"/>
      <x:c r="B8" s="1"/>
      <x:c r="C8" s="1"/>
      <x:c r="D8" s="1" t="str">
        <x:v>현재 웹 입력값이 아닌 독립 엑셀 양식입니다.</x:v>
      </x:c>
    </x:row>
    <x:row r="9" ht="26" customHeight="1">
      <x:c r="A9" s="1"/>
      <x:c r="B9" s="1"/>
      <x:c r="C9" s="1"/>
      <x:c r="D9" s="1"/>
    </x:row>
    <x:row r="10" ht="26" customHeight="1">
      <x:c r="A10" s="1"/>
      <x:c r="B10" s="1"/>
      <x:c r="C10" s="1"/>
      <x:c r="D10" s="1"/>
    </x:row>
    <x:row r="11" ht="26" customHeight="1">
      <x:c r="A11" s="1"/>
      <x:c r="B11" s="1"/>
      <x:c r="C11" s="1"/>
      <x:c r="D11" s="1" t="str">
        <x:v>주문 기여금 =</x:v>
      </x:c>
    </x:row>
    <x:row r="12" ht="26" customHeight="1">
      <x:c r="A12" s="1"/>
      <x:c r="B12" s="1"/>
      <x:c r="C12" s="1"/>
      <x:c r="D12" s="1" t="str">
        <x:v>가격×(1−수수료율)−원가−배송포장. 필요</x:v>
      </x:c>
    </x:row>
    <x:row r="13" ht="26" customHeight="1">
      <x:c r="A13" s="4" t="str">
        <x:v>입력 항목</x:v>
      </x:c>
      <x:c r="B13" s="4" t="str">
        <x:v>노란 칸을 수정하세요</x:v>
      </x:c>
      <x:c r="C13" s="1"/>
      <x:c r="D13" s="1" t="str">
        <x:v>주문 = 기존 기여금×기존 건수÷새</x:v>
      </x:c>
    </x:row>
    <x:row r="14" ht="26" customHeight="1">
      <x:c r="A14" s="1" t="str">
        <x:v>기존 판매가 (원)</x:v>
      </x:c>
      <x:c r="B14" s="6" t="n">
        <x:v>30000</x:v>
      </x:c>
      <x:c r="C14" s="1"/>
      <x:c r="D14" s="1" t="str">
        <x:v>기여금, 올림. 인상 전후 원가가 같다고</x:v>
      </x:c>
    </x:row>
    <x:row r="15" ht="26" customHeight="1">
      <x:c r="A15" s="1" t="str">
        <x:v>새 판매가 (원)</x:v>
      </x:c>
      <x:c r="B15" s="6" t="n">
        <x:v>33000</x:v>
      </x:c>
      <x:c r="C15" s="1"/>
      <x:c r="D15" s="1" t="str">
        <x:v>가정합니다.</x:v>
      </x:c>
    </x:row>
    <x:row r="16" ht="26" customHeight="1">
      <x:c r="A16" s="1" t="str">
        <x:v>개당 원가 (원)</x:v>
      </x:c>
      <x:c r="B16" s="6" t="n">
        <x:v>15000</x:v>
      </x:c>
      <x:c r="C16" s="1"/>
      <x:c r="D16" s="1"/>
    </x:row>
    <x:row r="17" ht="26" customHeight="1">
      <x:c r="A17" s="1" t="str">
        <x:v>수수료율 (%)</x:v>
      </x:c>
      <x:c r="B17" s="6" t="n">
        <x:v>6</x:v>
      </x:c>
      <x:c r="C17" s="1"/>
      <x:c r="D17" s="1"/>
    </x:row>
    <x:row r="18" ht="26" customHeight="1">
      <x:c r="A18" s="1" t="str">
        <x:v>배송·포장비 (원)</x:v>
      </x:c>
      <x:c r="B18" s="6" t="n">
        <x:v>3500</x:v>
      </x:c>
      <x:c r="C18" s="1"/>
      <x:c r="D18" s="1"/>
    </x:row>
    <x:row r="19" ht="26" customHeight="1">
      <x:c r="A19" s="1" t="str">
        <x:v>기존 주문 수 (건)</x:v>
      </x:c>
      <x:c r="B19" s="6" t="n">
        <x:v>100</x:v>
      </x:c>
      <x:c r="C19" s="1"/>
      <x:c r="D19" s="1"/>
    </x:row>
    <x:row r="20" ht="26" customHeight="1">
      <x:c r="A20" s="1"/>
      <x:c r="B20" s="1"/>
      <x:c r="C20" s="1"/>
      <x:c r="D20" s="1" t="str">
        <x:v>입력 확인: 빈칸·범위·양수 조건을 확인하세요.</x:v>
      </x:c>
    </x:row>
    <x:row r="21" ht="26" customHeight="1">
      <x:c r="A21" s="1"/>
      <x:c r="B21" s="1"/>
      <x:c r="C21" s="1"/>
      <x:c r="D21" s="1"/>
    </x:row>
    <x:row r="22" ht="26" customHeight="1">
      <x:c r="A22" s="1"/>
      <x:c r="B22" s="1"/>
      <x:c r="C22" s="1"/>
      <x:c r="D22" s="1"/>
    </x:row>
    <x:row r="23" ht="26" customHeight="1">
      <x:c r="A23" s="1"/>
      <x:c r="B23" s="1"/>
      <x:c r="C23" s="1"/>
      <x:c r="D23" s="1"/>
    </x:row>
    <x:row r="24" ht="26" customHeight="1">
      <x:c r="A24" s="1"/>
      <x:c r="B24" s="1"/>
      <x:c r="C24" s="1"/>
      <x:c r="D24" s="1"/>
    </x:row>
    <x:row r="25" ht="26" customHeight="1">
      <x:c r="A25" s="1"/>
      <x:c r="B25" s="1"/>
      <x:c r="C25" s="1"/>
      <x:c r="D25" s="1"/>
    </x:row>
    <x:row r="26" ht="26" customHeight="1">
      <x:c r="A26" s="1"/>
      <x:c r="B26" s="1"/>
      <x:c r="C26" s="1"/>
      <x:c r="D26" s="1"/>
    </x:row>
    <x:row r="27" ht="26" customHeight="1">
      <x:c r="A27" s="1"/>
      <x:c r="B27" s="1"/>
      <x:c r="C27" s="1"/>
      <x:c r="D27" s="1"/>
    </x:row>
  </x:sheetData>
  <x:pageMargins left="0.7" right="0.7" top="0.75" bottom="0.75" header="0.3" footer="0.3"/>
</x:worksheet>
</file>